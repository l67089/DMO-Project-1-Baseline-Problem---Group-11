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jonathan/Desktop/Masters/Decision Making and Optimization/Assignments/DMO Assignment Project 1/DMO-Project-1-Baseline-Problem---Group-11/Data/"/>
    </mc:Choice>
  </mc:AlternateContent>
  <xr:revisionPtr revIDLastSave="0" documentId="13_ncr:1_{2E60A11A-2734-B04B-BEAD-4D5D5ABCF2E7}" xr6:coauthVersionLast="47" xr6:coauthVersionMax="47" xr10:uidLastSave="{00000000-0000-0000-0000-000000000000}"/>
  <bookViews>
    <workbookView xWindow="0" yWindow="660" windowWidth="29400" windowHeight="17140" xr2:uid="{00000000-000D-0000-FFFF-FFFF00000000}"/>
  </bookViews>
  <sheets>
    <sheet name="Centres" sheetId="2" r:id="rId1"/>
    <sheet name="Regions" sheetId="3" r:id="rId2"/>
    <sheet name="Resources" sheetId="4" r:id="rId3"/>
    <sheet name="Supply" sheetId="5" r:id="rId4"/>
    <sheet name="Demand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4" i="2"/>
  <c r="B3" i="2"/>
  <c r="G3" i="2"/>
  <c r="G4" i="2"/>
  <c r="G2" i="2"/>
</calcChain>
</file>

<file path=xl/sharedStrings.xml><?xml version="1.0" encoding="utf-8"?>
<sst xmlns="http://schemas.openxmlformats.org/spreadsheetml/2006/main" count="136" uniqueCount="38">
  <si>
    <t>centre_id</t>
  </si>
  <si>
    <t>x_km</t>
  </si>
  <si>
    <t>y_km</t>
  </si>
  <si>
    <t>L1</t>
  </si>
  <si>
    <t>L2</t>
  </si>
  <si>
    <t>L3</t>
  </si>
  <si>
    <t>region_id</t>
  </si>
  <si>
    <t>R1</t>
  </si>
  <si>
    <t>R2</t>
  </si>
  <si>
    <t>R3</t>
  </si>
  <si>
    <t>R4</t>
  </si>
  <si>
    <t>R5</t>
  </si>
  <si>
    <t>R6</t>
  </si>
  <si>
    <t>resource_id</t>
  </si>
  <si>
    <t>resource_name</t>
  </si>
  <si>
    <t>unit</t>
  </si>
  <si>
    <t>transport_rate_eur_per_unit_km</t>
  </si>
  <si>
    <t>Drinking water</t>
  </si>
  <si>
    <t>case</t>
  </si>
  <si>
    <t>Food parcels</t>
  </si>
  <si>
    <t>parcel</t>
  </si>
  <si>
    <t>Medical kits</t>
  </si>
  <si>
    <t>kit</t>
  </si>
  <si>
    <t>Shelter kits</t>
  </si>
  <si>
    <t>Hygiene kits</t>
  </si>
  <si>
    <t>available_units</t>
  </si>
  <si>
    <t>minimum_units</t>
  </si>
  <si>
    <t>trucks_available</t>
  </si>
  <si>
    <t>truck_capacity</t>
  </si>
  <si>
    <t>fleet_capacity</t>
  </si>
  <si>
    <t>cargo_volume_per_unit</t>
  </si>
  <si>
    <t>handling_capacity</t>
  </si>
  <si>
    <t>V1</t>
  </si>
  <si>
    <t>V2</t>
  </si>
  <si>
    <t>V3</t>
  </si>
  <si>
    <t>V4</t>
  </si>
  <si>
    <t>V5</t>
  </si>
  <si>
    <t>handling_per_unit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</si>
</sst>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3653"/>
      </patternFill>
    </fill>
    <fill>
      <patternFill patternType="solid">
        <fgColor rgb="FF17365D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1" fillId="3" borderId="0" xfId="0" applyFont="1" applyFill="1" applyAlignment="1">
      <alignment wrapText="1"/>
    </xf>
    <xf numFmtId="0" fontId="2" fillId="4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entresTable" displayName="CentresTable" ref="A1:G4" totalsRowShown="0">
  <tableColumns count="7">
    <tableColumn id="1" xr3:uid="{00000000-0010-0000-0000-000001000000}" name="centre_id"/>
    <tableColumn id="8" xr3:uid="{16409BF7-3049-0D48-97A9-40830532605C}" name="handling_capacity"/>
    <tableColumn id="9" xr3:uid="{BB2DCDBB-72B5-8842-AFDF-52A5D5069BE3}" name="x_km"/>
    <tableColumn id="10" xr3:uid="{D1B0641E-2DF4-F041-9F9F-96250AB145FB}" name="y_km"/>
    <tableColumn id="11" xr3:uid="{FC9E1F8E-0C42-A644-8631-1D914F678F1B}" name="trucks_available"/>
    <tableColumn id="12" xr3:uid="{83FAE226-9838-944E-B788-695EC3661FF8}" name="truck_capacity"/>
    <tableColumn id="13" xr3:uid="{B7373347-03B3-CA40-A420-C88316248B92}" name="fleet_capacity">
      <calculatedColumnFormula>E2*F2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ionsTable" displayName="RegionsTable" ref="A1:C7" totalsRowShown="0">
  <tableColumns count="3">
    <tableColumn id="1" xr3:uid="{00000000-0010-0000-0100-000001000000}" name="region_id"/>
    <tableColumn id="4" xr3:uid="{00000000-0010-0000-0100-000004000000}" name="x_km"/>
    <tableColumn id="5" xr3:uid="{00000000-0010-0000-0100-000005000000}" name="y_km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ourcesTable" displayName="ResourcesTable" ref="A1:F6" totalsRowShown="0">
  <tableColumns count="6">
    <tableColumn id="1" xr3:uid="{00000000-0010-0000-0200-000001000000}" name="resource_id"/>
    <tableColumn id="2" xr3:uid="{00000000-0010-0000-0200-000002000000}" name="resource_name"/>
    <tableColumn id="3" xr3:uid="{00000000-0010-0000-0200-000003000000}" name="unit"/>
    <tableColumn id="4" xr3:uid="{00000000-0010-0000-0200-000004000000}" name="handling_per_unit"/>
    <tableColumn id="5" xr3:uid="{00000000-0010-0000-0200-000005000000}" name="transport_rate_eur_per_unit_km"/>
    <tableColumn id="6" xr3:uid="{1CBDFA77-EA0B-6D4F-BB9B-8EE2436F0E55}" name="cargo_volume_per_unit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pplyTable" displayName="SupplyTable" ref="A1:C16" totalsRowShown="0">
  <tableColumns count="3">
    <tableColumn id="1" xr3:uid="{00000000-0010-0000-0300-000001000000}" name="centre_id"/>
    <tableColumn id="2" xr3:uid="{00000000-0010-0000-0300-000002000000}" name="resource_id"/>
    <tableColumn id="3" xr3:uid="{00000000-0010-0000-0300-000003000000}" name="available_unit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mandTable" displayName="DemandTable" ref="A1:C31" totalsRowShown="0">
  <tableColumns count="3">
    <tableColumn id="1" xr3:uid="{00000000-0010-0000-0400-000001000000}" name="region_id"/>
    <tableColumn id="2" xr3:uid="{00000000-0010-0000-0400-000002000000}" name="resource_id"/>
    <tableColumn id="3" xr3:uid="{00000000-0010-0000-0400-000003000000}" name="minimum_unit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10" defaultColWidth="8.83203125" defaultRowHeight="15"/>
  <cols>
    <col min="1" max="1" width="9.33203125" customWidth="1"/>
    <col min="2" max="2" width="23.5" customWidth="1"/>
    <col min="3" max="4" width="5.83203125" customWidth="1"/>
    <col min="5" max="5" width="15.33203125" bestFit="1" customWidth="1"/>
    <col min="6" max="6" width="14" bestFit="1" customWidth="1"/>
    <col min="7" max="7" width="13.33203125" bestFit="1" customWidth="1"/>
  </cols>
  <sheetData>
    <row r="1" spans="1:7" ht="30" customHeight="1">
      <c r="A1" s="1" t="s">
        <v>0</v>
      </c>
      <c r="B1" s="1" t="s">
        <v>31</v>
      </c>
      <c r="C1" s="1" t="s">
        <v>1</v>
      </c>
      <c r="D1" s="1" t="s">
        <v>2</v>
      </c>
      <c r="E1" s="4" t="s">
        <v>27</v>
      </c>
      <c r="F1" s="4" t="s">
        <v>28</v>
      </c>
      <c r="G1" s="4" t="s">
        <v>29</v>
      </c>
    </row>
    <row r="2" spans="1:7" ht="20" customHeight="1">
      <c r="A2" t="s">
        <v>3</v>
      </c>
      <c r="B2">
        <f>684-59.2</f>
        <v>624.79999999999995</v>
      </c>
      <c r="C2">
        <v>20</v>
      </c>
      <c r="D2">
        <v>300</v>
      </c>
      <c r="E2">
        <v>9</v>
      </c>
      <c r="F2">
        <v>30</v>
      </c>
      <c r="G2">
        <f>270-42.6</f>
        <v>227.4</v>
      </c>
    </row>
    <row r="3" spans="1:7" ht="20" customHeight="1">
      <c r="A3" t="s">
        <v>4</v>
      </c>
      <c r="B3">
        <f>790+59.2+40.8</f>
        <v>890</v>
      </c>
      <c r="C3">
        <v>65</v>
      </c>
      <c r="D3">
        <v>160</v>
      </c>
      <c r="E3">
        <v>8</v>
      </c>
      <c r="F3">
        <v>30</v>
      </c>
      <c r="G3">
        <f>240+38.5+42.6</f>
        <v>321.10000000000002</v>
      </c>
    </row>
    <row r="4" spans="1:7" ht="20" customHeight="1">
      <c r="A4" t="s">
        <v>5</v>
      </c>
      <c r="B4">
        <f>740-40.8</f>
        <v>699.2</v>
      </c>
      <c r="C4">
        <v>65</v>
      </c>
      <c r="D4">
        <v>15</v>
      </c>
      <c r="E4">
        <v>9</v>
      </c>
      <c r="F4">
        <v>30</v>
      </c>
      <c r="G4">
        <f>270-38.5</f>
        <v>231.5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 activeCell="B1" sqref="B1:C1048576"/>
    </sheetView>
  </sheetViews>
  <sheetFormatPr baseColWidth="10" defaultColWidth="8.83203125" defaultRowHeight="15"/>
  <cols>
    <col min="1" max="1" width="15" customWidth="1"/>
    <col min="2" max="3" width="12" customWidth="1"/>
  </cols>
  <sheetData>
    <row r="1" spans="1:3" ht="28" customHeight="1">
      <c r="A1" s="1" t="s">
        <v>6</v>
      </c>
      <c r="B1" s="1" t="s">
        <v>1</v>
      </c>
      <c r="C1" s="1" t="s">
        <v>2</v>
      </c>
    </row>
    <row r="2" spans="1:3" ht="20" customHeight="1">
      <c r="A2" t="s">
        <v>7</v>
      </c>
      <c r="B2">
        <v>15</v>
      </c>
      <c r="C2">
        <v>270</v>
      </c>
    </row>
    <row r="3" spans="1:3" ht="20" customHeight="1">
      <c r="A3" t="s">
        <v>8</v>
      </c>
      <c r="B3">
        <v>90</v>
      </c>
      <c r="C3">
        <v>245</v>
      </c>
    </row>
    <row r="4" spans="1:3" ht="20" customHeight="1">
      <c r="A4" t="s">
        <v>9</v>
      </c>
      <c r="B4">
        <v>67</v>
      </c>
      <c r="C4">
        <v>200</v>
      </c>
    </row>
    <row r="5" spans="1:3" ht="20" customHeight="1">
      <c r="A5" t="s">
        <v>10</v>
      </c>
      <c r="B5">
        <v>135</v>
      </c>
      <c r="C5">
        <v>115</v>
      </c>
    </row>
    <row r="6" spans="1:3" ht="20" customHeight="1">
      <c r="A6" t="s">
        <v>11</v>
      </c>
      <c r="B6">
        <v>105</v>
      </c>
      <c r="C6">
        <v>25</v>
      </c>
    </row>
    <row r="7" spans="1:3" ht="20" customHeight="1">
      <c r="A7" t="s">
        <v>12</v>
      </c>
      <c r="B7">
        <v>22</v>
      </c>
      <c r="C7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5"/>
  <cols>
    <col min="1" max="1" width="11.5" bestFit="1" customWidth="1"/>
    <col min="2" max="2" width="14.6640625" bestFit="1" customWidth="1"/>
    <col min="3" max="3" width="6.1640625" bestFit="1" customWidth="1"/>
    <col min="4" max="4" width="23.5" bestFit="1" customWidth="1"/>
    <col min="5" max="5" width="30" bestFit="1" customWidth="1"/>
    <col min="6" max="6" width="22.33203125" bestFit="1" customWidth="1"/>
  </cols>
  <sheetData>
    <row r="1" spans="1:6" ht="30" customHeight="1">
      <c r="A1" s="1" t="s">
        <v>13</v>
      </c>
      <c r="B1" s="1" t="s">
        <v>14</v>
      </c>
      <c r="C1" s="1" t="s">
        <v>15</v>
      </c>
      <c r="D1" s="1" t="s">
        <v>37</v>
      </c>
      <c r="E1" s="1" t="s">
        <v>16</v>
      </c>
      <c r="F1" s="4" t="s">
        <v>30</v>
      </c>
    </row>
    <row r="2" spans="1:6" ht="20" customHeight="1">
      <c r="A2" t="s">
        <v>32</v>
      </c>
      <c r="B2" t="s">
        <v>17</v>
      </c>
      <c r="C2" t="s">
        <v>18</v>
      </c>
      <c r="D2" s="2">
        <v>1</v>
      </c>
      <c r="E2" s="3">
        <v>1.9E-2</v>
      </c>
      <c r="F2">
        <v>0.3</v>
      </c>
    </row>
    <row r="3" spans="1:6" ht="20" customHeight="1">
      <c r="A3" t="s">
        <v>33</v>
      </c>
      <c r="B3" t="s">
        <v>19</v>
      </c>
      <c r="C3" t="s">
        <v>20</v>
      </c>
      <c r="D3" s="2">
        <v>1.2</v>
      </c>
      <c r="E3" s="3">
        <v>2.1999999999999999E-2</v>
      </c>
      <c r="F3">
        <v>0.4</v>
      </c>
    </row>
    <row r="4" spans="1:6" ht="20" customHeight="1">
      <c r="A4" t="s">
        <v>34</v>
      </c>
      <c r="B4" t="s">
        <v>21</v>
      </c>
      <c r="C4" t="s">
        <v>22</v>
      </c>
      <c r="D4" s="2">
        <v>0.6</v>
      </c>
      <c r="E4" s="3">
        <v>1.7000000000000001E-2</v>
      </c>
      <c r="F4">
        <v>0.15</v>
      </c>
    </row>
    <row r="5" spans="1:6" ht="20" customHeight="1">
      <c r="A5" t="s">
        <v>35</v>
      </c>
      <c r="B5" t="s">
        <v>23</v>
      </c>
      <c r="C5" t="s">
        <v>22</v>
      </c>
      <c r="D5" s="2">
        <v>3</v>
      </c>
      <c r="E5" s="3">
        <v>3.2000000000000001E-2</v>
      </c>
      <c r="F5">
        <v>1.2</v>
      </c>
    </row>
    <row r="6" spans="1:6" ht="20" customHeight="1">
      <c r="A6" t="s">
        <v>36</v>
      </c>
      <c r="B6" t="s">
        <v>24</v>
      </c>
      <c r="C6" t="s">
        <v>22</v>
      </c>
      <c r="D6" s="2">
        <v>0.8</v>
      </c>
      <c r="E6" s="3">
        <v>0.02</v>
      </c>
      <c r="F6">
        <v>0.25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pane ySplit="1" topLeftCell="A2" activePane="bottomLeft" state="frozen"/>
      <selection pane="bottomLeft" activeCell="B12" sqref="B12:B16"/>
    </sheetView>
  </sheetViews>
  <sheetFormatPr baseColWidth="10" defaultColWidth="8.83203125" defaultRowHeight="15"/>
  <cols>
    <col min="1" max="2" width="18" customWidth="1"/>
    <col min="3" max="3" width="24" customWidth="1"/>
  </cols>
  <sheetData>
    <row r="1" spans="1:3" ht="28" customHeight="1">
      <c r="A1" s="1" t="s">
        <v>0</v>
      </c>
      <c r="B1" s="1" t="s">
        <v>13</v>
      </c>
      <c r="C1" s="1" t="s">
        <v>25</v>
      </c>
    </row>
    <row r="2" spans="1:3" ht="20" customHeight="1">
      <c r="A2" t="s">
        <v>3</v>
      </c>
      <c r="B2" s="5" t="s">
        <v>32</v>
      </c>
      <c r="C2">
        <v>230</v>
      </c>
    </row>
    <row r="3" spans="1:3" ht="20" customHeight="1">
      <c r="A3" t="s">
        <v>3</v>
      </c>
      <c r="B3" s="6" t="s">
        <v>33</v>
      </c>
      <c r="C3">
        <v>160</v>
      </c>
    </row>
    <row r="4" spans="1:3" ht="20" customHeight="1">
      <c r="A4" t="s">
        <v>3</v>
      </c>
      <c r="B4" s="5" t="s">
        <v>34</v>
      </c>
      <c r="C4">
        <v>50</v>
      </c>
    </row>
    <row r="5" spans="1:3" ht="20" customHeight="1">
      <c r="A5" t="s">
        <v>3</v>
      </c>
      <c r="B5" s="6" t="s">
        <v>35</v>
      </c>
      <c r="C5">
        <v>54</v>
      </c>
    </row>
    <row r="6" spans="1:3" ht="20" customHeight="1">
      <c r="A6" t="s">
        <v>3</v>
      </c>
      <c r="B6" s="5" t="s">
        <v>36</v>
      </c>
      <c r="C6">
        <v>132</v>
      </c>
    </row>
    <row r="7" spans="1:3" ht="20" customHeight="1">
      <c r="A7" t="s">
        <v>4</v>
      </c>
      <c r="B7" s="5" t="s">
        <v>32</v>
      </c>
      <c r="C7">
        <v>230</v>
      </c>
    </row>
    <row r="8" spans="1:3" ht="20" customHeight="1">
      <c r="A8" t="s">
        <v>4</v>
      </c>
      <c r="B8" s="6" t="s">
        <v>33</v>
      </c>
      <c r="C8">
        <v>200</v>
      </c>
    </row>
    <row r="9" spans="1:3" ht="20" customHeight="1">
      <c r="A9" t="s">
        <v>4</v>
      </c>
      <c r="B9" s="5" t="s">
        <v>34</v>
      </c>
      <c r="C9">
        <v>90</v>
      </c>
    </row>
    <row r="10" spans="1:3" ht="20" customHeight="1">
      <c r="A10" t="s">
        <v>4</v>
      </c>
      <c r="B10" s="6" t="s">
        <v>35</v>
      </c>
      <c r="C10">
        <v>65</v>
      </c>
    </row>
    <row r="11" spans="1:3" ht="20" customHeight="1">
      <c r="A11" t="s">
        <v>4</v>
      </c>
      <c r="B11" s="5" t="s">
        <v>36</v>
      </c>
      <c r="C11">
        <v>155</v>
      </c>
    </row>
    <row r="12" spans="1:3" ht="20" customHeight="1">
      <c r="A12" t="s">
        <v>5</v>
      </c>
      <c r="B12" s="5" t="s">
        <v>32</v>
      </c>
      <c r="C12">
        <v>205</v>
      </c>
    </row>
    <row r="13" spans="1:3" ht="20" customHeight="1">
      <c r="A13" t="s">
        <v>5</v>
      </c>
      <c r="B13" s="6" t="s">
        <v>33</v>
      </c>
      <c r="C13">
        <v>170</v>
      </c>
    </row>
    <row r="14" spans="1:3" ht="20" customHeight="1">
      <c r="A14" t="s">
        <v>5</v>
      </c>
      <c r="B14" s="5" t="s">
        <v>34</v>
      </c>
      <c r="C14">
        <v>55</v>
      </c>
    </row>
    <row r="15" spans="1:3" ht="20" customHeight="1">
      <c r="A15" t="s">
        <v>5</v>
      </c>
      <c r="B15" s="6" t="s">
        <v>35</v>
      </c>
      <c r="C15">
        <v>50</v>
      </c>
    </row>
    <row r="16" spans="1:3" ht="20" customHeight="1">
      <c r="A16" t="s">
        <v>5</v>
      </c>
      <c r="B16" s="5" t="s">
        <v>36</v>
      </c>
      <c r="C16">
        <v>135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pane ySplit="1" topLeftCell="A6" activePane="bottomLeft" state="frozen"/>
      <selection pane="bottomLeft" activeCell="B27" sqref="B27:B31"/>
    </sheetView>
  </sheetViews>
  <sheetFormatPr baseColWidth="10" defaultColWidth="8.83203125" defaultRowHeight="15"/>
  <cols>
    <col min="1" max="2" width="18" customWidth="1"/>
    <col min="3" max="3" width="24" customWidth="1"/>
  </cols>
  <sheetData>
    <row r="1" spans="1:3" ht="28" customHeight="1">
      <c r="A1" s="1" t="s">
        <v>6</v>
      </c>
      <c r="B1" s="1" t="s">
        <v>13</v>
      </c>
      <c r="C1" s="1" t="s">
        <v>26</v>
      </c>
    </row>
    <row r="2" spans="1:3" ht="20" customHeight="1">
      <c r="A2" t="s">
        <v>7</v>
      </c>
      <c r="B2" s="5" t="s">
        <v>32</v>
      </c>
      <c r="C2">
        <v>110</v>
      </c>
    </row>
    <row r="3" spans="1:3" ht="20" customHeight="1">
      <c r="A3" t="s">
        <v>7</v>
      </c>
      <c r="B3" s="6" t="s">
        <v>33</v>
      </c>
      <c r="C3">
        <v>75</v>
      </c>
    </row>
    <row r="4" spans="1:3" ht="20" customHeight="1">
      <c r="A4" t="s">
        <v>7</v>
      </c>
      <c r="B4" s="5" t="s">
        <v>34</v>
      </c>
      <c r="C4">
        <v>28</v>
      </c>
    </row>
    <row r="5" spans="1:3" ht="20" customHeight="1">
      <c r="A5" t="s">
        <v>7</v>
      </c>
      <c r="B5" s="6" t="s">
        <v>35</v>
      </c>
      <c r="C5">
        <v>24</v>
      </c>
    </row>
    <row r="6" spans="1:3" ht="20" customHeight="1">
      <c r="A6" t="s">
        <v>7</v>
      </c>
      <c r="B6" s="5" t="s">
        <v>36</v>
      </c>
      <c r="C6">
        <v>65</v>
      </c>
    </row>
    <row r="7" spans="1:3" ht="20" customHeight="1">
      <c r="A7" t="s">
        <v>8</v>
      </c>
      <c r="B7" s="5" t="s">
        <v>32</v>
      </c>
      <c r="C7">
        <v>90</v>
      </c>
    </row>
    <row r="8" spans="1:3" ht="20" customHeight="1">
      <c r="A8" t="s">
        <v>8</v>
      </c>
      <c r="B8" s="6" t="s">
        <v>33</v>
      </c>
      <c r="C8">
        <v>65</v>
      </c>
    </row>
    <row r="9" spans="1:3" ht="20" customHeight="1">
      <c r="A9" t="s">
        <v>8</v>
      </c>
      <c r="B9" s="5" t="s">
        <v>34</v>
      </c>
      <c r="C9">
        <v>20</v>
      </c>
    </row>
    <row r="10" spans="1:3" ht="20" customHeight="1">
      <c r="A10" t="s">
        <v>8</v>
      </c>
      <c r="B10" s="6" t="s">
        <v>35</v>
      </c>
      <c r="C10">
        <v>18</v>
      </c>
    </row>
    <row r="11" spans="1:3" ht="20" customHeight="1">
      <c r="A11" t="s">
        <v>8</v>
      </c>
      <c r="B11" s="5" t="s">
        <v>36</v>
      </c>
      <c r="C11">
        <v>50</v>
      </c>
    </row>
    <row r="12" spans="1:3" ht="20" customHeight="1">
      <c r="A12" t="s">
        <v>9</v>
      </c>
      <c r="B12" s="5" t="s">
        <v>32</v>
      </c>
      <c r="C12">
        <v>130</v>
      </c>
    </row>
    <row r="13" spans="1:3" ht="20" customHeight="1">
      <c r="A13" t="s">
        <v>9</v>
      </c>
      <c r="B13" s="6" t="s">
        <v>33</v>
      </c>
      <c r="C13">
        <v>105</v>
      </c>
    </row>
    <row r="14" spans="1:3" ht="20" customHeight="1">
      <c r="A14" t="s">
        <v>9</v>
      </c>
      <c r="B14" s="5" t="s">
        <v>34</v>
      </c>
      <c r="C14">
        <v>42</v>
      </c>
    </row>
    <row r="15" spans="1:3" ht="20" customHeight="1">
      <c r="A15" t="s">
        <v>9</v>
      </c>
      <c r="B15" s="6" t="s">
        <v>35</v>
      </c>
      <c r="C15">
        <v>35</v>
      </c>
    </row>
    <row r="16" spans="1:3" ht="20" customHeight="1">
      <c r="A16" t="s">
        <v>9</v>
      </c>
      <c r="B16" s="5" t="s">
        <v>36</v>
      </c>
      <c r="C16">
        <v>85</v>
      </c>
    </row>
    <row r="17" spans="1:3" ht="20" customHeight="1">
      <c r="A17" t="s">
        <v>10</v>
      </c>
      <c r="B17" s="5" t="s">
        <v>32</v>
      </c>
      <c r="C17">
        <v>110</v>
      </c>
    </row>
    <row r="18" spans="1:3" ht="20" customHeight="1">
      <c r="A18" t="s">
        <v>10</v>
      </c>
      <c r="B18" s="6" t="s">
        <v>33</v>
      </c>
      <c r="C18">
        <v>75</v>
      </c>
    </row>
    <row r="19" spans="1:3" ht="20" customHeight="1">
      <c r="A19" t="s">
        <v>10</v>
      </c>
      <c r="B19" s="5" t="s">
        <v>34</v>
      </c>
      <c r="C19">
        <v>30</v>
      </c>
    </row>
    <row r="20" spans="1:3" ht="20" customHeight="1">
      <c r="A20" t="s">
        <v>10</v>
      </c>
      <c r="B20" s="6" t="s">
        <v>35</v>
      </c>
      <c r="C20">
        <v>26</v>
      </c>
    </row>
    <row r="21" spans="1:3" ht="20" customHeight="1">
      <c r="A21" t="s">
        <v>10</v>
      </c>
      <c r="B21" s="5" t="s">
        <v>36</v>
      </c>
      <c r="C21">
        <v>65</v>
      </c>
    </row>
    <row r="22" spans="1:3" ht="20" customHeight="1">
      <c r="A22" t="s">
        <v>11</v>
      </c>
      <c r="B22" s="5" t="s">
        <v>32</v>
      </c>
      <c r="C22">
        <v>85</v>
      </c>
    </row>
    <row r="23" spans="1:3" ht="20" customHeight="1">
      <c r="A23" t="s">
        <v>11</v>
      </c>
      <c r="B23" s="6" t="s">
        <v>33</v>
      </c>
      <c r="C23">
        <v>60</v>
      </c>
    </row>
    <row r="24" spans="1:3" ht="20" customHeight="1">
      <c r="A24" t="s">
        <v>11</v>
      </c>
      <c r="B24" s="5" t="s">
        <v>34</v>
      </c>
      <c r="C24">
        <v>22</v>
      </c>
    </row>
    <row r="25" spans="1:3" ht="20" customHeight="1">
      <c r="A25" t="s">
        <v>11</v>
      </c>
      <c r="B25" s="6" t="s">
        <v>35</v>
      </c>
      <c r="C25">
        <v>22</v>
      </c>
    </row>
    <row r="26" spans="1:3" ht="20" customHeight="1">
      <c r="A26" t="s">
        <v>11</v>
      </c>
      <c r="B26" s="5" t="s">
        <v>36</v>
      </c>
      <c r="C26">
        <v>55</v>
      </c>
    </row>
    <row r="27" spans="1:3" ht="20" customHeight="1">
      <c r="A27" t="s">
        <v>12</v>
      </c>
      <c r="B27" s="5" t="s">
        <v>32</v>
      </c>
      <c r="C27">
        <v>120</v>
      </c>
    </row>
    <row r="28" spans="1:3" ht="20" customHeight="1">
      <c r="A28" t="s">
        <v>12</v>
      </c>
      <c r="B28" s="6" t="s">
        <v>33</v>
      </c>
      <c r="C28">
        <v>95</v>
      </c>
    </row>
    <row r="29" spans="1:3" ht="20" customHeight="1">
      <c r="A29" t="s">
        <v>12</v>
      </c>
      <c r="B29" s="5" t="s">
        <v>34</v>
      </c>
      <c r="C29">
        <v>38</v>
      </c>
    </row>
    <row r="30" spans="1:3" ht="20" customHeight="1">
      <c r="A30" t="s">
        <v>12</v>
      </c>
      <c r="B30" s="6" t="s">
        <v>35</v>
      </c>
      <c r="C30">
        <v>32</v>
      </c>
    </row>
    <row r="31" spans="1:3" ht="20" customHeight="1">
      <c r="A31" t="s">
        <v>12</v>
      </c>
      <c r="B31" s="5" t="s">
        <v>36</v>
      </c>
      <c r="C31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Centres</vt:lpstr>
      <vt:lpstr>Regions</vt:lpstr>
      <vt:lpstr>Resources</vt:lpstr>
      <vt:lpstr>Supply</vt:lpstr>
      <vt:lpstr>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Galea</cp:lastModifiedBy>
  <dcterms:created xsi:type="dcterms:W3CDTF">2026-10-27T01:05:43Z</dcterms:created>
  <dcterms:modified xsi:type="dcterms:W3CDTF">2026-10-29T13:16:40Z</dcterms:modified>
</cp:coreProperties>
</file>