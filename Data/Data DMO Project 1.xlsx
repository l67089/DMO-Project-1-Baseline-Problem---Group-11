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jonathan/Desktop/Masters/Decision Making and Optimization/Assignments/"/>
    </mc:Choice>
  </mc:AlternateContent>
  <xr:revisionPtr revIDLastSave="0" documentId="13_ncr:1_{90F9D3AA-017C-0242-A91D-FD7CC6AA8FBA}" xr6:coauthVersionLast="47" xr6:coauthVersionMax="47" xr10:uidLastSave="{00000000-0000-0000-0000-000000000000}"/>
  <bookViews>
    <workbookView xWindow="0" yWindow="660" windowWidth="29400" windowHeight="17140" activeTab="4" xr2:uid="{00000000-000D-0000-FFFF-FFFF00000000}"/>
  </bookViews>
  <sheets>
    <sheet name="Centres" sheetId="2" r:id="rId1"/>
    <sheet name="Regions" sheetId="3" r:id="rId2"/>
    <sheet name="Resources" sheetId="4" r:id="rId3"/>
    <sheet name="Supply" sheetId="5" r:id="rId4"/>
    <sheet name="Demand" sheetId="6" r:id="rId5"/>
    <sheet name="Transport Costs" sheetId="8" state="hidden" r:id="rId6"/>
    <sheet name="2D Map" sheetId="9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9" l="1"/>
  <c r="C16" i="9"/>
  <c r="D15" i="9"/>
  <c r="C15" i="9"/>
  <c r="D14" i="9"/>
  <c r="C14" i="9"/>
  <c r="D13" i="9"/>
  <c r="C13" i="9"/>
  <c r="D12" i="9"/>
  <c r="C12" i="9"/>
  <c r="D11" i="9"/>
  <c r="C11" i="9"/>
  <c r="D7" i="9"/>
  <c r="C7" i="9"/>
  <c r="D6" i="9"/>
  <c r="C6" i="9"/>
  <c r="D5" i="9"/>
  <c r="C5" i="9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D91" i="8" l="1"/>
  <c r="F91" i="8" s="1"/>
  <c r="D90" i="8"/>
  <c r="F90" i="8" s="1"/>
  <c r="D89" i="8"/>
  <c r="F89" i="8" s="1"/>
  <c r="D88" i="8"/>
  <c r="F88" i="8" s="1"/>
  <c r="D87" i="8"/>
  <c r="F87" i="8" s="1"/>
  <c r="D86" i="8"/>
  <c r="F86" i="8" s="1"/>
  <c r="D85" i="8"/>
  <c r="F85" i="8" s="1"/>
  <c r="D84" i="8"/>
  <c r="F84" i="8" s="1"/>
  <c r="D83" i="8"/>
  <c r="F83" i="8" s="1"/>
  <c r="D82" i="8"/>
  <c r="F82" i="8" s="1"/>
  <c r="D81" i="8"/>
  <c r="F81" i="8" s="1"/>
  <c r="D80" i="8"/>
  <c r="F80" i="8" s="1"/>
  <c r="D79" i="8"/>
  <c r="F79" i="8" s="1"/>
  <c r="D78" i="8"/>
  <c r="F78" i="8" s="1"/>
  <c r="D77" i="8"/>
  <c r="F77" i="8" s="1"/>
  <c r="D76" i="8"/>
  <c r="F76" i="8" s="1"/>
  <c r="D75" i="8"/>
  <c r="F75" i="8" s="1"/>
  <c r="D74" i="8"/>
  <c r="F74" i="8" s="1"/>
  <c r="D73" i="8"/>
  <c r="F73" i="8" s="1"/>
  <c r="D72" i="8"/>
  <c r="F72" i="8" s="1"/>
  <c r="D71" i="8"/>
  <c r="F71" i="8" s="1"/>
  <c r="D70" i="8"/>
  <c r="F70" i="8" s="1"/>
  <c r="D69" i="8"/>
  <c r="F69" i="8" s="1"/>
  <c r="D68" i="8"/>
  <c r="F68" i="8" s="1"/>
  <c r="D67" i="8"/>
  <c r="F67" i="8" s="1"/>
  <c r="D66" i="8"/>
  <c r="F66" i="8" s="1"/>
  <c r="D65" i="8"/>
  <c r="F65" i="8" s="1"/>
  <c r="D64" i="8"/>
  <c r="F64" i="8" s="1"/>
  <c r="D63" i="8"/>
  <c r="F63" i="8" s="1"/>
  <c r="D62" i="8"/>
  <c r="F62" i="8" s="1"/>
  <c r="D61" i="8"/>
  <c r="F61" i="8" s="1"/>
  <c r="D60" i="8"/>
  <c r="F60" i="8" s="1"/>
  <c r="D59" i="8"/>
  <c r="F59" i="8" s="1"/>
  <c r="D58" i="8"/>
  <c r="F58" i="8" s="1"/>
  <c r="D57" i="8"/>
  <c r="F57" i="8" s="1"/>
  <c r="D56" i="8"/>
  <c r="F56" i="8" s="1"/>
  <c r="D55" i="8"/>
  <c r="F55" i="8" s="1"/>
  <c r="D54" i="8"/>
  <c r="F54" i="8" s="1"/>
  <c r="D53" i="8"/>
  <c r="F53" i="8" s="1"/>
  <c r="D52" i="8"/>
  <c r="F52" i="8" s="1"/>
  <c r="D49" i="8"/>
  <c r="F49" i="8" s="1"/>
  <c r="D48" i="8"/>
  <c r="F48" i="8" s="1"/>
  <c r="D51" i="8"/>
  <c r="F51" i="8" s="1"/>
  <c r="D50" i="8"/>
  <c r="F50" i="8" s="1"/>
  <c r="D47" i="8"/>
  <c r="F47" i="8" s="1"/>
  <c r="D46" i="8"/>
  <c r="F46" i="8" s="1"/>
  <c r="D45" i="8"/>
  <c r="F45" i="8" s="1"/>
  <c r="D44" i="8"/>
  <c r="F44" i="8" s="1"/>
  <c r="D43" i="8"/>
  <c r="F43" i="8" s="1"/>
  <c r="D42" i="8"/>
  <c r="F42" i="8" s="1"/>
  <c r="D41" i="8"/>
  <c r="F41" i="8" s="1"/>
  <c r="D40" i="8"/>
  <c r="F40" i="8" s="1"/>
  <c r="D39" i="8"/>
  <c r="F39" i="8" s="1"/>
  <c r="D38" i="8"/>
  <c r="F38" i="8" s="1"/>
  <c r="D37" i="8"/>
  <c r="F37" i="8" s="1"/>
  <c r="D36" i="8"/>
  <c r="F36" i="8" s="1"/>
  <c r="D35" i="8"/>
  <c r="F35" i="8" s="1"/>
  <c r="D34" i="8"/>
  <c r="F34" i="8" s="1"/>
  <c r="D33" i="8"/>
  <c r="F33" i="8" s="1"/>
  <c r="D32" i="8"/>
  <c r="F32" i="8" s="1"/>
  <c r="D31" i="8"/>
  <c r="F31" i="8" s="1"/>
  <c r="D30" i="8"/>
  <c r="F30" i="8" s="1"/>
  <c r="D29" i="8"/>
  <c r="F29" i="8" s="1"/>
  <c r="D28" i="8"/>
  <c r="F28" i="8" s="1"/>
  <c r="D27" i="8"/>
  <c r="F27" i="8" s="1"/>
  <c r="D26" i="8"/>
  <c r="F26" i="8" s="1"/>
  <c r="D25" i="8"/>
  <c r="F25" i="8" s="1"/>
  <c r="D24" i="8"/>
  <c r="F24" i="8" s="1"/>
  <c r="D23" i="8"/>
  <c r="F23" i="8" s="1"/>
  <c r="D22" i="8"/>
  <c r="F22" i="8" s="1"/>
  <c r="D21" i="8"/>
  <c r="F21" i="8" s="1"/>
  <c r="D20" i="8"/>
  <c r="F20" i="8" s="1"/>
  <c r="D19" i="8"/>
  <c r="F19" i="8" s="1"/>
  <c r="D18" i="8"/>
  <c r="F18" i="8" s="1"/>
  <c r="D17" i="8"/>
  <c r="F17" i="8" s="1"/>
  <c r="D16" i="8"/>
  <c r="F16" i="8" s="1"/>
  <c r="D15" i="8"/>
  <c r="F15" i="8" s="1"/>
  <c r="D14" i="8"/>
  <c r="F14" i="8" s="1"/>
  <c r="D13" i="8"/>
  <c r="F13" i="8" s="1"/>
  <c r="D12" i="8"/>
  <c r="F12" i="8" s="1"/>
  <c r="D11" i="8"/>
  <c r="F11" i="8" s="1"/>
  <c r="D10" i="8"/>
  <c r="F10" i="8" s="1"/>
  <c r="D9" i="8"/>
  <c r="F9" i="8" s="1"/>
  <c r="D8" i="8"/>
  <c r="F8" i="8" s="1"/>
  <c r="D7" i="8"/>
  <c r="F7" i="8" s="1"/>
  <c r="D6" i="8"/>
  <c r="F6" i="8" s="1"/>
  <c r="D5" i="8"/>
  <c r="F5" i="8" s="1"/>
  <c r="D4" i="8"/>
  <c r="F4" i="8" s="1"/>
  <c r="D3" i="8"/>
  <c r="F3" i="8" s="1"/>
  <c r="D2" i="8"/>
  <c r="F2" i="8" s="1"/>
</calcChain>
</file>

<file path=xl/sharedStrings.xml><?xml version="1.0" encoding="utf-8"?>
<sst xmlns="http://schemas.openxmlformats.org/spreadsheetml/2006/main" count="457" uniqueCount="61">
  <si>
    <t>centre_id</t>
  </si>
  <si>
    <t>centre_name</t>
  </si>
  <si>
    <t>handling_capacity_equiv</t>
  </si>
  <si>
    <t>x_km</t>
  </si>
  <si>
    <t>y_km</t>
  </si>
  <si>
    <t>L1</t>
  </si>
  <si>
    <t>North Hub</t>
  </si>
  <si>
    <t>L2</t>
  </si>
  <si>
    <t>Central Hub</t>
  </si>
  <si>
    <t>L3</t>
  </si>
  <si>
    <t>South Hub</t>
  </si>
  <si>
    <t>region_id</t>
  </si>
  <si>
    <t>region_name</t>
  </si>
  <si>
    <t>severity</t>
  </si>
  <si>
    <t>R1</t>
  </si>
  <si>
    <t>North Coast</t>
  </si>
  <si>
    <t>High</t>
  </si>
  <si>
    <t>R2</t>
  </si>
  <si>
    <t>North Inland</t>
  </si>
  <si>
    <t>Medium</t>
  </si>
  <si>
    <t>R3</t>
  </si>
  <si>
    <t>Central City</t>
  </si>
  <si>
    <t>Critical</t>
  </si>
  <si>
    <t>R4</t>
  </si>
  <si>
    <t>East Valley</t>
  </si>
  <si>
    <t>R5</t>
  </si>
  <si>
    <t>South Coast</t>
  </si>
  <si>
    <t>R6</t>
  </si>
  <si>
    <t>Mountain District</t>
  </si>
  <si>
    <t>resource_id</t>
  </si>
  <si>
    <t>resource_name</t>
  </si>
  <si>
    <t>unit</t>
  </si>
  <si>
    <t>handling_equiv_per_unit</t>
  </si>
  <si>
    <t>transport_rate_eur_per_unit_km</t>
  </si>
  <si>
    <t>K1</t>
  </si>
  <si>
    <t>Drinking water</t>
  </si>
  <si>
    <t>case</t>
  </si>
  <si>
    <t>K2</t>
  </si>
  <si>
    <t>Food parcels</t>
  </si>
  <si>
    <t>parcel</t>
  </si>
  <si>
    <t>K3</t>
  </si>
  <si>
    <t>Medical kits</t>
  </si>
  <si>
    <t>kit</t>
  </si>
  <si>
    <t>K4</t>
  </si>
  <si>
    <t>Shelter kits</t>
  </si>
  <si>
    <t>K5</t>
  </si>
  <si>
    <t>Hygiene kits</t>
  </si>
  <si>
    <t>available_units</t>
  </si>
  <si>
    <t>minimum_units</t>
  </si>
  <si>
    <t>distance_km</t>
  </si>
  <si>
    <t>cost_eur_per_unit</t>
  </si>
  <si>
    <t>Synthetic relief network: planar coordinates</t>
  </si>
  <si>
    <t>Coordinates in kilometres. Origin arbitrary; straight-line distances, not road distances.</t>
  </si>
  <si>
    <t>Centre</t>
  </si>
  <si>
    <t>Name</t>
  </si>
  <si>
    <t>x (km)</t>
  </si>
  <si>
    <t>y (km)</t>
  </si>
  <si>
    <t>Region</t>
  </si>
  <si>
    <t>Map note</t>
  </si>
  <si>
    <t>Plot shows baseline points. Edit inputs in Centres/Regions to change distances and costs.</t>
  </si>
  <si>
    <t>Coordinates are fictional and independent of real latitude/longitude.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</si>
</sst>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3653"/>
      </patternFill>
    </fill>
    <fill>
      <patternFill patternType="solid">
        <fgColor rgb="FF107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4" fontId="0" fillId="0" borderId="0" xfId="0" applyNumberFormat="1"/>
    <xf numFmtId="0" fontId="2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Logistics centres and affected regions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Logistics centres</c:v>
          </c:tx>
          <c:xVal>
            <c:numLit>
              <c:formatCode>General</c:formatCode>
              <c:ptCount val="3"/>
              <c:pt idx="0">
                <c:v>20</c:v>
              </c:pt>
              <c:pt idx="1">
                <c:v>65</c:v>
              </c:pt>
              <c:pt idx="2">
                <c:v>65</c:v>
              </c:pt>
            </c:numLit>
          </c:xVal>
          <c:yVal>
            <c:numLit>
              <c:formatCode>General</c:formatCode>
              <c:ptCount val="3"/>
              <c:pt idx="0">
                <c:v>300</c:v>
              </c:pt>
              <c:pt idx="1">
                <c:v>160</c:v>
              </c:pt>
              <c:pt idx="2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EBC3-6F49-8531-1D6E4CA86427}"/>
            </c:ext>
          </c:extLst>
        </c:ser>
        <c:ser>
          <c:idx val="1"/>
          <c:order val="1"/>
          <c:tx>
            <c:v>Affected regions</c:v>
          </c:tx>
          <c:xVal>
            <c:numLit>
              <c:formatCode>General</c:formatCode>
              <c:ptCount val="6"/>
              <c:pt idx="0">
                <c:v>15</c:v>
              </c:pt>
              <c:pt idx="1">
                <c:v>90</c:v>
              </c:pt>
              <c:pt idx="2">
                <c:v>67</c:v>
              </c:pt>
              <c:pt idx="3">
                <c:v>135</c:v>
              </c:pt>
              <c:pt idx="4">
                <c:v>105</c:v>
              </c:pt>
              <c:pt idx="5">
                <c:v>22</c:v>
              </c:pt>
            </c:numLit>
          </c:xVal>
          <c:yVal>
            <c:numLit>
              <c:formatCode>General</c:formatCode>
              <c:ptCount val="6"/>
              <c:pt idx="0">
                <c:v>270</c:v>
              </c:pt>
              <c:pt idx="1">
                <c:v>245</c:v>
              </c:pt>
              <c:pt idx="2">
                <c:v>170</c:v>
              </c:pt>
              <c:pt idx="3">
                <c:v>115</c:v>
              </c:pt>
              <c:pt idx="4">
                <c:v>25</c:v>
              </c:pt>
              <c:pt idx="5">
                <c:v>80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EBC3-6F49-8531-1D6E4CA86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7715250" cy="523875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ntresTable" displayName="CentresTable" ref="A1:E4" totalsRowShown="0">
  <tableColumns count="5">
    <tableColumn id="1" xr3:uid="{00000000-0010-0000-0000-000001000000}" name="centre_id"/>
    <tableColumn id="2" xr3:uid="{00000000-0010-0000-0000-000002000000}" name="centre_name"/>
    <tableColumn id="3" xr3:uid="{00000000-0010-0000-0000-000003000000}" name="handling_capacity_equiv"/>
    <tableColumn id="4" xr3:uid="{00000000-0010-0000-0000-000004000000}" name="x_km"/>
    <tableColumn id="5" xr3:uid="{00000000-0010-0000-0000-000005000000}" name="y_k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ionsTable" displayName="RegionsTable" ref="A1:E7" totalsRowShown="0">
  <tableColumns count="5">
    <tableColumn id="1" xr3:uid="{00000000-0010-0000-0100-000001000000}" name="region_id"/>
    <tableColumn id="2" xr3:uid="{00000000-0010-0000-0100-000002000000}" name="region_name"/>
    <tableColumn id="3" xr3:uid="{00000000-0010-0000-0100-000003000000}" name="severity"/>
    <tableColumn id="4" xr3:uid="{00000000-0010-0000-0100-000004000000}" name="x_km"/>
    <tableColumn id="5" xr3:uid="{00000000-0010-0000-0100-000005000000}" name="y_k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ourcesTable" displayName="ResourcesTable" ref="A1:E6" totalsRowShown="0">
  <tableColumns count="5">
    <tableColumn id="1" xr3:uid="{00000000-0010-0000-0200-000001000000}" name="resource_id"/>
    <tableColumn id="2" xr3:uid="{00000000-0010-0000-0200-000002000000}" name="resource_name"/>
    <tableColumn id="3" xr3:uid="{00000000-0010-0000-0200-000003000000}" name="unit"/>
    <tableColumn id="4" xr3:uid="{00000000-0010-0000-0200-000004000000}" name="handling_equiv_per_unit"/>
    <tableColumn id="5" xr3:uid="{00000000-0010-0000-0200-000005000000}" name="transport_rate_eur_per_unit_k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pplyTable" displayName="SupplyTable" ref="A1:C16" totalsRowShown="0">
  <tableColumns count="3">
    <tableColumn id="1" xr3:uid="{00000000-0010-0000-0300-000001000000}" name="centre_id"/>
    <tableColumn id="2" xr3:uid="{00000000-0010-0000-0300-000002000000}" name="resource_id"/>
    <tableColumn id="3" xr3:uid="{00000000-0010-0000-0300-000003000000}" name="available_uni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mandTable" displayName="DemandTable" ref="A1:C31" totalsRowShown="0">
  <tableColumns count="3">
    <tableColumn id="1" xr3:uid="{00000000-0010-0000-0400-000001000000}" name="region_id"/>
    <tableColumn id="2" xr3:uid="{00000000-0010-0000-0400-000002000000}" name="resource_id"/>
    <tableColumn id="3" xr3:uid="{00000000-0010-0000-0400-000003000000}" name="minimum_uni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portCostsTable" displayName="TransportCostsTable" ref="A1:F91" totalsRowShown="0">
  <tableColumns count="6">
    <tableColumn id="1" xr3:uid="{00000000-0010-0000-0600-000001000000}" name="centre_id"/>
    <tableColumn id="2" xr3:uid="{00000000-0010-0000-0600-000002000000}" name="region_id"/>
    <tableColumn id="3" xr3:uid="{00000000-0010-0000-0600-000003000000}" name="resource_id"/>
    <tableColumn id="4" xr3:uid="{00000000-0010-0000-0600-000004000000}" name="distance_km"/>
    <tableColumn id="5" xr3:uid="{00000000-0010-0000-0600-000005000000}" name="transport_rate_eur_per_unit_km"/>
    <tableColumn id="6" xr3:uid="{00000000-0010-0000-0600-000006000000}" name="cost_eur_per_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pane ySplit="1" topLeftCell="A2" activePane="bottomLeft" state="frozen"/>
      <selection pane="bottomLeft" activeCell="F4" sqref="F4"/>
    </sheetView>
  </sheetViews>
  <sheetFormatPr baseColWidth="10" defaultColWidth="8.83203125" defaultRowHeight="15"/>
  <cols>
    <col min="1" max="1" width="9.33203125" bestFit="1" customWidth="1"/>
    <col min="2" max="2" width="12.5" bestFit="1" customWidth="1"/>
    <col min="3" max="3" width="23.5" bestFit="1" customWidth="1"/>
    <col min="4" max="5" width="5.83203125" bestFit="1" customWidth="1"/>
  </cols>
  <sheetData>
    <row r="1" spans="1:5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" customHeight="1">
      <c r="A2" t="s">
        <v>5</v>
      </c>
      <c r="B2" t="s">
        <v>6</v>
      </c>
      <c r="C2">
        <v>690</v>
      </c>
      <c r="D2">
        <v>20</v>
      </c>
      <c r="E2">
        <v>300</v>
      </c>
    </row>
    <row r="3" spans="1:5" ht="20" customHeight="1">
      <c r="A3" t="s">
        <v>7</v>
      </c>
      <c r="B3" t="s">
        <v>8</v>
      </c>
      <c r="C3">
        <v>790</v>
      </c>
      <c r="D3">
        <v>65</v>
      </c>
      <c r="E3">
        <v>160</v>
      </c>
    </row>
    <row r="4" spans="1:5" ht="20" customHeight="1">
      <c r="A4" t="s">
        <v>9</v>
      </c>
      <c r="B4" t="s">
        <v>10</v>
      </c>
      <c r="C4">
        <v>740</v>
      </c>
      <c r="D4">
        <v>65</v>
      </c>
      <c r="E4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1" topLeftCell="A2" activePane="bottomLeft" state="frozen"/>
      <selection pane="bottomLeft" activeCell="D14" sqref="D14"/>
    </sheetView>
  </sheetViews>
  <sheetFormatPr baseColWidth="10" defaultColWidth="8.83203125" defaultRowHeight="15"/>
  <cols>
    <col min="1" max="1" width="15" customWidth="1"/>
    <col min="2" max="2" width="24" customWidth="1"/>
    <col min="3" max="3" width="12.5" customWidth="1"/>
    <col min="4" max="5" width="12" customWidth="1"/>
  </cols>
  <sheetData>
    <row r="1" spans="1:5" ht="28" customHeight="1">
      <c r="A1" s="2" t="s">
        <v>11</v>
      </c>
      <c r="B1" s="2" t="s">
        <v>12</v>
      </c>
      <c r="C1" s="2" t="s">
        <v>13</v>
      </c>
      <c r="D1" s="2" t="s">
        <v>3</v>
      </c>
      <c r="E1" s="2" t="s">
        <v>4</v>
      </c>
    </row>
    <row r="2" spans="1:5" ht="20" customHeight="1">
      <c r="A2" t="s">
        <v>14</v>
      </c>
      <c r="B2" t="s">
        <v>15</v>
      </c>
      <c r="C2" t="s">
        <v>16</v>
      </c>
      <c r="D2">
        <v>15</v>
      </c>
      <c r="E2">
        <v>270</v>
      </c>
    </row>
    <row r="3" spans="1:5" ht="20" customHeight="1">
      <c r="A3" t="s">
        <v>17</v>
      </c>
      <c r="B3" t="s">
        <v>18</v>
      </c>
      <c r="C3" t="s">
        <v>19</v>
      </c>
      <c r="D3">
        <v>90</v>
      </c>
      <c r="E3">
        <v>245</v>
      </c>
    </row>
    <row r="4" spans="1:5" ht="20" customHeight="1">
      <c r="A4" t="s">
        <v>20</v>
      </c>
      <c r="B4" t="s">
        <v>21</v>
      </c>
      <c r="C4" t="s">
        <v>22</v>
      </c>
      <c r="D4">
        <v>67</v>
      </c>
      <c r="E4">
        <v>200</v>
      </c>
    </row>
    <row r="5" spans="1:5" ht="20" customHeight="1">
      <c r="A5" t="s">
        <v>23</v>
      </c>
      <c r="B5" t="s">
        <v>24</v>
      </c>
      <c r="C5" t="s">
        <v>16</v>
      </c>
      <c r="D5">
        <v>135</v>
      </c>
      <c r="E5">
        <v>115</v>
      </c>
    </row>
    <row r="6" spans="1:5" ht="20" customHeight="1">
      <c r="A6" t="s">
        <v>25</v>
      </c>
      <c r="B6" t="s">
        <v>26</v>
      </c>
      <c r="C6" t="s">
        <v>19</v>
      </c>
      <c r="D6">
        <v>105</v>
      </c>
      <c r="E6">
        <v>25</v>
      </c>
    </row>
    <row r="7" spans="1:5" ht="20" customHeight="1">
      <c r="A7" t="s">
        <v>27</v>
      </c>
      <c r="B7" t="s">
        <v>28</v>
      </c>
      <c r="C7" t="s">
        <v>22</v>
      </c>
      <c r="D7">
        <v>22</v>
      </c>
      <c r="E7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1" topLeftCell="A2" activePane="bottomLeft" state="frozen"/>
      <selection pane="bottomLeft" activeCell="E13" sqref="E13"/>
    </sheetView>
  </sheetViews>
  <sheetFormatPr baseColWidth="10" defaultColWidth="8.83203125" defaultRowHeight="15"/>
  <cols>
    <col min="1" max="1" width="15" customWidth="1"/>
    <col min="2" max="2" width="24" customWidth="1"/>
    <col min="3" max="3" width="5.83203125" bestFit="1" customWidth="1"/>
    <col min="4" max="4" width="24.1640625" customWidth="1"/>
    <col min="5" max="5" width="40" customWidth="1"/>
  </cols>
  <sheetData>
    <row r="1" spans="1:5" ht="28" customHeight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</row>
    <row r="2" spans="1:5" ht="20" customHeight="1">
      <c r="A2" t="s">
        <v>34</v>
      </c>
      <c r="B2" t="s">
        <v>35</v>
      </c>
      <c r="C2" t="s">
        <v>36</v>
      </c>
      <c r="D2" s="3">
        <v>1</v>
      </c>
      <c r="E2" s="4">
        <v>1.9E-2</v>
      </c>
    </row>
    <row r="3" spans="1:5" ht="20" customHeight="1">
      <c r="A3" t="s">
        <v>37</v>
      </c>
      <c r="B3" t="s">
        <v>38</v>
      </c>
      <c r="C3" t="s">
        <v>39</v>
      </c>
      <c r="D3" s="3">
        <v>1.2</v>
      </c>
      <c r="E3" s="4">
        <v>2.1999999999999999E-2</v>
      </c>
    </row>
    <row r="4" spans="1:5" ht="20" customHeight="1">
      <c r="A4" t="s">
        <v>40</v>
      </c>
      <c r="B4" t="s">
        <v>41</v>
      </c>
      <c r="C4" t="s">
        <v>42</v>
      </c>
      <c r="D4" s="3">
        <v>0.6</v>
      </c>
      <c r="E4" s="4">
        <v>1.7000000000000001E-2</v>
      </c>
    </row>
    <row r="5" spans="1:5" ht="20" customHeight="1">
      <c r="A5" t="s">
        <v>43</v>
      </c>
      <c r="B5" t="s">
        <v>44</v>
      </c>
      <c r="C5" t="s">
        <v>42</v>
      </c>
      <c r="D5" s="3">
        <v>3</v>
      </c>
      <c r="E5" s="4">
        <v>3.2000000000000001E-2</v>
      </c>
    </row>
    <row r="6" spans="1:5" ht="20" customHeight="1">
      <c r="A6" t="s">
        <v>45</v>
      </c>
      <c r="B6" t="s">
        <v>46</v>
      </c>
      <c r="C6" t="s">
        <v>42</v>
      </c>
      <c r="D6" s="3">
        <v>0.8</v>
      </c>
      <c r="E6" s="4">
        <v>0.02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pane ySplit="1" topLeftCell="A2" activePane="bottomLeft" state="frozen"/>
      <selection pane="bottomLeft" activeCell="A12" sqref="A12"/>
    </sheetView>
  </sheetViews>
  <sheetFormatPr baseColWidth="10" defaultColWidth="8.83203125" defaultRowHeight="15"/>
  <cols>
    <col min="1" max="2" width="18" customWidth="1"/>
    <col min="3" max="3" width="24" customWidth="1"/>
  </cols>
  <sheetData>
    <row r="1" spans="1:3" ht="28" customHeight="1">
      <c r="A1" s="2" t="s">
        <v>0</v>
      </c>
      <c r="B1" s="2" t="s">
        <v>29</v>
      </c>
      <c r="C1" s="2" t="s">
        <v>47</v>
      </c>
    </row>
    <row r="2" spans="1:3" ht="20" customHeight="1">
      <c r="A2" t="s">
        <v>5</v>
      </c>
      <c r="B2" t="s">
        <v>34</v>
      </c>
      <c r="C2">
        <v>230</v>
      </c>
    </row>
    <row r="3" spans="1:3" ht="20" customHeight="1">
      <c r="A3" t="s">
        <v>5</v>
      </c>
      <c r="B3" t="s">
        <v>37</v>
      </c>
      <c r="C3">
        <v>160</v>
      </c>
    </row>
    <row r="4" spans="1:3" ht="20" customHeight="1">
      <c r="A4" t="s">
        <v>5</v>
      </c>
      <c r="B4" t="s">
        <v>40</v>
      </c>
      <c r="C4">
        <v>65</v>
      </c>
    </row>
    <row r="5" spans="1:3" ht="20" customHeight="1">
      <c r="A5" t="s">
        <v>5</v>
      </c>
      <c r="B5" t="s">
        <v>43</v>
      </c>
      <c r="C5">
        <v>54</v>
      </c>
    </row>
    <row r="6" spans="1:3" ht="20" customHeight="1">
      <c r="A6" t="s">
        <v>5</v>
      </c>
      <c r="B6" t="s">
        <v>45</v>
      </c>
      <c r="C6">
        <v>132</v>
      </c>
    </row>
    <row r="7" spans="1:3" ht="20" customHeight="1">
      <c r="A7" t="s">
        <v>7</v>
      </c>
      <c r="B7" t="s">
        <v>34</v>
      </c>
      <c r="C7">
        <v>230</v>
      </c>
    </row>
    <row r="8" spans="1:3" ht="20" customHeight="1">
      <c r="A8" t="s">
        <v>7</v>
      </c>
      <c r="B8" t="s">
        <v>37</v>
      </c>
      <c r="C8">
        <v>200</v>
      </c>
    </row>
    <row r="9" spans="1:3" ht="20" customHeight="1">
      <c r="A9" t="s">
        <v>7</v>
      </c>
      <c r="B9" t="s">
        <v>40</v>
      </c>
      <c r="C9">
        <v>75</v>
      </c>
    </row>
    <row r="10" spans="1:3" ht="20" customHeight="1">
      <c r="A10" t="s">
        <v>7</v>
      </c>
      <c r="B10" t="s">
        <v>43</v>
      </c>
      <c r="C10">
        <v>65</v>
      </c>
    </row>
    <row r="11" spans="1:3" ht="20" customHeight="1">
      <c r="A11" t="s">
        <v>7</v>
      </c>
      <c r="B11" t="s">
        <v>45</v>
      </c>
      <c r="C11">
        <v>155</v>
      </c>
    </row>
    <row r="12" spans="1:3" ht="20" customHeight="1">
      <c r="A12" t="s">
        <v>9</v>
      </c>
      <c r="B12" t="s">
        <v>34</v>
      </c>
      <c r="C12">
        <v>205</v>
      </c>
    </row>
    <row r="13" spans="1:3" ht="20" customHeight="1">
      <c r="A13" t="s">
        <v>9</v>
      </c>
      <c r="B13" t="s">
        <v>37</v>
      </c>
      <c r="C13">
        <v>170</v>
      </c>
    </row>
    <row r="14" spans="1:3" ht="20" customHeight="1">
      <c r="A14" t="s">
        <v>9</v>
      </c>
      <c r="B14" t="s">
        <v>40</v>
      </c>
      <c r="C14">
        <v>55</v>
      </c>
    </row>
    <row r="15" spans="1:3" ht="20" customHeight="1">
      <c r="A15" t="s">
        <v>9</v>
      </c>
      <c r="B15" t="s">
        <v>43</v>
      </c>
      <c r="C15">
        <v>50</v>
      </c>
    </row>
    <row r="16" spans="1:3" ht="20" customHeight="1">
      <c r="A16" t="s">
        <v>9</v>
      </c>
      <c r="B16" t="s">
        <v>45</v>
      </c>
      <c r="C16">
        <v>135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tabSelected="1" zoomScale="71" zoomScaleNormal="71" workbookViewId="0">
      <pane ySplit="1" topLeftCell="A2" activePane="bottomLeft" state="frozen"/>
      <selection pane="bottomLeft" activeCell="D8" sqref="D8"/>
    </sheetView>
  </sheetViews>
  <sheetFormatPr baseColWidth="10" defaultColWidth="8.83203125" defaultRowHeight="15"/>
  <cols>
    <col min="1" max="2" width="18" customWidth="1"/>
    <col min="3" max="3" width="24" customWidth="1"/>
  </cols>
  <sheetData>
    <row r="1" spans="1:3" ht="28" customHeight="1">
      <c r="A1" s="2" t="s">
        <v>11</v>
      </c>
      <c r="B1" s="2" t="s">
        <v>29</v>
      </c>
      <c r="C1" s="2" t="s">
        <v>48</v>
      </c>
    </row>
    <row r="2" spans="1:3" ht="20" customHeight="1">
      <c r="A2" t="s">
        <v>14</v>
      </c>
      <c r="B2" t="s">
        <v>34</v>
      </c>
      <c r="C2">
        <v>110</v>
      </c>
    </row>
    <row r="3" spans="1:3" ht="20" customHeight="1">
      <c r="A3" t="s">
        <v>14</v>
      </c>
      <c r="B3" t="s">
        <v>37</v>
      </c>
      <c r="C3">
        <v>75</v>
      </c>
    </row>
    <row r="4" spans="1:3" ht="20" customHeight="1">
      <c r="A4" t="s">
        <v>14</v>
      </c>
      <c r="B4" t="s">
        <v>40</v>
      </c>
      <c r="C4">
        <v>28</v>
      </c>
    </row>
    <row r="5" spans="1:3" ht="20" customHeight="1">
      <c r="A5" t="s">
        <v>14</v>
      </c>
      <c r="B5" t="s">
        <v>43</v>
      </c>
      <c r="C5">
        <v>24</v>
      </c>
    </row>
    <row r="6" spans="1:3" ht="20" customHeight="1">
      <c r="A6" t="s">
        <v>14</v>
      </c>
      <c r="B6" t="s">
        <v>45</v>
      </c>
      <c r="C6">
        <v>65</v>
      </c>
    </row>
    <row r="7" spans="1:3" ht="20" customHeight="1">
      <c r="A7" t="s">
        <v>17</v>
      </c>
      <c r="B7" t="s">
        <v>34</v>
      </c>
      <c r="C7">
        <v>90</v>
      </c>
    </row>
    <row r="8" spans="1:3" ht="20" customHeight="1">
      <c r="A8" t="s">
        <v>17</v>
      </c>
      <c r="B8" t="s">
        <v>37</v>
      </c>
      <c r="C8">
        <v>65</v>
      </c>
    </row>
    <row r="9" spans="1:3" ht="20" customHeight="1">
      <c r="A9" t="s">
        <v>17</v>
      </c>
      <c r="B9" t="s">
        <v>40</v>
      </c>
      <c r="C9">
        <v>20</v>
      </c>
    </row>
    <row r="10" spans="1:3" ht="20" customHeight="1">
      <c r="A10" t="s">
        <v>17</v>
      </c>
      <c r="B10" t="s">
        <v>43</v>
      </c>
      <c r="C10">
        <v>18</v>
      </c>
    </row>
    <row r="11" spans="1:3" ht="20" customHeight="1">
      <c r="A11" t="s">
        <v>17</v>
      </c>
      <c r="B11" t="s">
        <v>45</v>
      </c>
      <c r="C11">
        <v>50</v>
      </c>
    </row>
    <row r="12" spans="1:3" ht="20" customHeight="1">
      <c r="A12" t="s">
        <v>20</v>
      </c>
      <c r="B12" t="s">
        <v>34</v>
      </c>
      <c r="C12">
        <v>130</v>
      </c>
    </row>
    <row r="13" spans="1:3" ht="20" customHeight="1">
      <c r="A13" t="s">
        <v>20</v>
      </c>
      <c r="B13" t="s">
        <v>37</v>
      </c>
      <c r="C13">
        <v>105</v>
      </c>
    </row>
    <row r="14" spans="1:3" ht="20" customHeight="1">
      <c r="A14" t="s">
        <v>20</v>
      </c>
      <c r="B14" t="s">
        <v>40</v>
      </c>
      <c r="C14">
        <v>42</v>
      </c>
    </row>
    <row r="15" spans="1:3" ht="20" customHeight="1">
      <c r="A15" t="s">
        <v>20</v>
      </c>
      <c r="B15" t="s">
        <v>43</v>
      </c>
      <c r="C15">
        <v>35</v>
      </c>
    </row>
    <row r="16" spans="1:3" ht="20" customHeight="1">
      <c r="A16" t="s">
        <v>20</v>
      </c>
      <c r="B16" t="s">
        <v>45</v>
      </c>
      <c r="C16">
        <v>85</v>
      </c>
    </row>
    <row r="17" spans="1:3" ht="20" customHeight="1">
      <c r="A17" t="s">
        <v>23</v>
      </c>
      <c r="B17" t="s">
        <v>34</v>
      </c>
      <c r="C17">
        <v>110</v>
      </c>
    </row>
    <row r="18" spans="1:3" ht="20" customHeight="1">
      <c r="A18" t="s">
        <v>23</v>
      </c>
      <c r="B18" t="s">
        <v>37</v>
      </c>
      <c r="C18">
        <v>75</v>
      </c>
    </row>
    <row r="19" spans="1:3" ht="20" customHeight="1">
      <c r="A19" t="s">
        <v>23</v>
      </c>
      <c r="B19" t="s">
        <v>40</v>
      </c>
      <c r="C19">
        <v>30</v>
      </c>
    </row>
    <row r="20" spans="1:3" ht="20" customHeight="1">
      <c r="A20" t="s">
        <v>23</v>
      </c>
      <c r="B20" t="s">
        <v>43</v>
      </c>
      <c r="C20">
        <v>26</v>
      </c>
    </row>
    <row r="21" spans="1:3" ht="20" customHeight="1">
      <c r="A21" t="s">
        <v>23</v>
      </c>
      <c r="B21" t="s">
        <v>45</v>
      </c>
      <c r="C21">
        <v>65</v>
      </c>
    </row>
    <row r="22" spans="1:3" ht="20" customHeight="1">
      <c r="A22" t="s">
        <v>25</v>
      </c>
      <c r="B22" t="s">
        <v>34</v>
      </c>
      <c r="C22">
        <v>85</v>
      </c>
    </row>
    <row r="23" spans="1:3" ht="20" customHeight="1">
      <c r="A23" t="s">
        <v>25</v>
      </c>
      <c r="B23" t="s">
        <v>37</v>
      </c>
      <c r="C23">
        <v>60</v>
      </c>
    </row>
    <row r="24" spans="1:3" ht="20" customHeight="1">
      <c r="A24" t="s">
        <v>25</v>
      </c>
      <c r="B24" t="s">
        <v>40</v>
      </c>
      <c r="C24">
        <v>22</v>
      </c>
    </row>
    <row r="25" spans="1:3" ht="20" customHeight="1">
      <c r="A25" t="s">
        <v>25</v>
      </c>
      <c r="B25" t="s">
        <v>43</v>
      </c>
      <c r="C25">
        <v>22</v>
      </c>
    </row>
    <row r="26" spans="1:3" ht="20" customHeight="1">
      <c r="A26" t="s">
        <v>25</v>
      </c>
      <c r="B26" t="s">
        <v>45</v>
      </c>
      <c r="C26">
        <v>55</v>
      </c>
    </row>
    <row r="27" spans="1:3" ht="20" customHeight="1">
      <c r="A27" t="s">
        <v>27</v>
      </c>
      <c r="B27" t="s">
        <v>34</v>
      </c>
      <c r="C27">
        <v>120</v>
      </c>
    </row>
    <row r="28" spans="1:3" ht="20" customHeight="1">
      <c r="A28" t="s">
        <v>27</v>
      </c>
      <c r="B28" t="s">
        <v>37</v>
      </c>
      <c r="C28">
        <v>95</v>
      </c>
    </row>
    <row r="29" spans="1:3" ht="20" customHeight="1">
      <c r="A29" t="s">
        <v>27</v>
      </c>
      <c r="B29" t="s">
        <v>40</v>
      </c>
      <c r="C29">
        <v>38</v>
      </c>
    </row>
    <row r="30" spans="1:3" ht="20" customHeight="1">
      <c r="A30" t="s">
        <v>27</v>
      </c>
      <c r="B30" t="s">
        <v>43</v>
      </c>
      <c r="C30">
        <v>32</v>
      </c>
    </row>
    <row r="31" spans="1:3" ht="20" customHeight="1">
      <c r="A31" t="s">
        <v>27</v>
      </c>
      <c r="B31" t="s">
        <v>45</v>
      </c>
      <c r="C31">
        <v>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16" customWidth="1"/>
    <col min="3" max="3" width="17" customWidth="1"/>
    <col min="4" max="4" width="19" customWidth="1"/>
    <col min="5" max="5" width="37" customWidth="1"/>
    <col min="6" max="6" width="23" customWidth="1"/>
  </cols>
  <sheetData>
    <row r="1" spans="1:6" ht="28" customHeight="1">
      <c r="A1" s="2" t="s">
        <v>0</v>
      </c>
      <c r="B1" s="2" t="s">
        <v>11</v>
      </c>
      <c r="C1" s="2" t="s">
        <v>29</v>
      </c>
      <c r="D1" s="2" t="s">
        <v>49</v>
      </c>
      <c r="E1" s="2" t="s">
        <v>33</v>
      </c>
      <c r="F1" s="2" t="s">
        <v>50</v>
      </c>
    </row>
    <row r="2" spans="1:6" ht="20" customHeight="1">
      <c r="A2" t="s">
        <v>5</v>
      </c>
      <c r="B2" t="s">
        <v>14</v>
      </c>
      <c r="C2" t="s">
        <v>34</v>
      </c>
      <c r="D2" s="5" t="e">
        <f>#REF!</f>
        <v>#REF!</v>
      </c>
      <c r="E2" s="4">
        <f>Resources!E2</f>
        <v>1.9E-2</v>
      </c>
      <c r="F2" s="6" t="e">
        <f t="shared" ref="F2:F33" si="0">ROUND(D2*E2,2)</f>
        <v>#REF!</v>
      </c>
    </row>
    <row r="3" spans="1:6" ht="20" customHeight="1">
      <c r="A3" t="s">
        <v>5</v>
      </c>
      <c r="B3" t="s">
        <v>14</v>
      </c>
      <c r="C3" t="s">
        <v>37</v>
      </c>
      <c r="D3" s="5" t="e">
        <f>#REF!</f>
        <v>#REF!</v>
      </c>
      <c r="E3" s="4">
        <f>Resources!E3</f>
        <v>2.1999999999999999E-2</v>
      </c>
      <c r="F3" s="6" t="e">
        <f t="shared" si="0"/>
        <v>#REF!</v>
      </c>
    </row>
    <row r="4" spans="1:6" ht="20" customHeight="1">
      <c r="A4" t="s">
        <v>5</v>
      </c>
      <c r="B4" t="s">
        <v>14</v>
      </c>
      <c r="C4" t="s">
        <v>40</v>
      </c>
      <c r="D4" s="5" t="e">
        <f>#REF!</f>
        <v>#REF!</v>
      </c>
      <c r="E4" s="4">
        <f>Resources!E4</f>
        <v>1.7000000000000001E-2</v>
      </c>
      <c r="F4" s="6" t="e">
        <f t="shared" si="0"/>
        <v>#REF!</v>
      </c>
    </row>
    <row r="5" spans="1:6" ht="20" customHeight="1">
      <c r="A5" t="s">
        <v>5</v>
      </c>
      <c r="B5" t="s">
        <v>14</v>
      </c>
      <c r="C5" t="s">
        <v>43</v>
      </c>
      <c r="D5" s="5" t="e">
        <f>#REF!</f>
        <v>#REF!</v>
      </c>
      <c r="E5" s="4">
        <f>Resources!E5</f>
        <v>3.2000000000000001E-2</v>
      </c>
      <c r="F5" s="6" t="e">
        <f t="shared" si="0"/>
        <v>#REF!</v>
      </c>
    </row>
    <row r="6" spans="1:6" ht="20" customHeight="1">
      <c r="A6" t="s">
        <v>5</v>
      </c>
      <c r="B6" t="s">
        <v>14</v>
      </c>
      <c r="C6" t="s">
        <v>45</v>
      </c>
      <c r="D6" s="5" t="e">
        <f>#REF!</f>
        <v>#REF!</v>
      </c>
      <c r="E6" s="4">
        <f>Resources!E6</f>
        <v>0.02</v>
      </c>
      <c r="F6" s="6" t="e">
        <f t="shared" si="0"/>
        <v>#REF!</v>
      </c>
    </row>
    <row r="7" spans="1:6" ht="20" customHeight="1">
      <c r="A7" t="s">
        <v>5</v>
      </c>
      <c r="B7" t="s">
        <v>17</v>
      </c>
      <c r="C7" t="s">
        <v>34</v>
      </c>
      <c r="D7" s="5" t="e">
        <f>#REF!</f>
        <v>#REF!</v>
      </c>
      <c r="E7" s="4">
        <f>Resources!E2</f>
        <v>1.9E-2</v>
      </c>
      <c r="F7" s="6" t="e">
        <f t="shared" si="0"/>
        <v>#REF!</v>
      </c>
    </row>
    <row r="8" spans="1:6" ht="20" customHeight="1">
      <c r="A8" t="s">
        <v>5</v>
      </c>
      <c r="B8" t="s">
        <v>17</v>
      </c>
      <c r="C8" t="s">
        <v>37</v>
      </c>
      <c r="D8" s="5" t="e">
        <f>#REF!</f>
        <v>#REF!</v>
      </c>
      <c r="E8" s="4">
        <f>Resources!E3</f>
        <v>2.1999999999999999E-2</v>
      </c>
      <c r="F8" s="6" t="e">
        <f t="shared" si="0"/>
        <v>#REF!</v>
      </c>
    </row>
    <row r="9" spans="1:6" ht="20" customHeight="1">
      <c r="A9" t="s">
        <v>5</v>
      </c>
      <c r="B9" t="s">
        <v>17</v>
      </c>
      <c r="C9" t="s">
        <v>40</v>
      </c>
      <c r="D9" s="5" t="e">
        <f>#REF!</f>
        <v>#REF!</v>
      </c>
      <c r="E9" s="4">
        <f>Resources!E4</f>
        <v>1.7000000000000001E-2</v>
      </c>
      <c r="F9" s="6" t="e">
        <f t="shared" si="0"/>
        <v>#REF!</v>
      </c>
    </row>
    <row r="10" spans="1:6" ht="20" customHeight="1">
      <c r="A10" t="s">
        <v>5</v>
      </c>
      <c r="B10" t="s">
        <v>17</v>
      </c>
      <c r="C10" t="s">
        <v>43</v>
      </c>
      <c r="D10" s="5" t="e">
        <f>#REF!</f>
        <v>#REF!</v>
      </c>
      <c r="E10" s="4">
        <f>Resources!E5</f>
        <v>3.2000000000000001E-2</v>
      </c>
      <c r="F10" s="6" t="e">
        <f t="shared" si="0"/>
        <v>#REF!</v>
      </c>
    </row>
    <row r="11" spans="1:6" ht="20" customHeight="1">
      <c r="A11" t="s">
        <v>5</v>
      </c>
      <c r="B11" t="s">
        <v>17</v>
      </c>
      <c r="C11" t="s">
        <v>45</v>
      </c>
      <c r="D11" s="5" t="e">
        <f>#REF!</f>
        <v>#REF!</v>
      </c>
      <c r="E11" s="4">
        <f>Resources!E6</f>
        <v>0.02</v>
      </c>
      <c r="F11" s="6" t="e">
        <f t="shared" si="0"/>
        <v>#REF!</v>
      </c>
    </row>
    <row r="12" spans="1:6" ht="20" customHeight="1">
      <c r="A12" t="s">
        <v>5</v>
      </c>
      <c r="B12" t="s">
        <v>20</v>
      </c>
      <c r="C12" t="s">
        <v>34</v>
      </c>
      <c r="D12" s="5" t="e">
        <f>#REF!</f>
        <v>#REF!</v>
      </c>
      <c r="E12" s="4">
        <f>Resources!E2</f>
        <v>1.9E-2</v>
      </c>
      <c r="F12" s="6" t="e">
        <f t="shared" si="0"/>
        <v>#REF!</v>
      </c>
    </row>
    <row r="13" spans="1:6" ht="20" customHeight="1">
      <c r="A13" t="s">
        <v>5</v>
      </c>
      <c r="B13" t="s">
        <v>20</v>
      </c>
      <c r="C13" t="s">
        <v>37</v>
      </c>
      <c r="D13" s="5" t="e">
        <f>#REF!</f>
        <v>#REF!</v>
      </c>
      <c r="E13" s="4">
        <f>Resources!E3</f>
        <v>2.1999999999999999E-2</v>
      </c>
      <c r="F13" s="6" t="e">
        <f t="shared" si="0"/>
        <v>#REF!</v>
      </c>
    </row>
    <row r="14" spans="1:6" ht="20" customHeight="1">
      <c r="A14" t="s">
        <v>5</v>
      </c>
      <c r="B14" t="s">
        <v>20</v>
      </c>
      <c r="C14" t="s">
        <v>40</v>
      </c>
      <c r="D14" s="5" t="e">
        <f>#REF!</f>
        <v>#REF!</v>
      </c>
      <c r="E14" s="4">
        <f>Resources!E4</f>
        <v>1.7000000000000001E-2</v>
      </c>
      <c r="F14" s="6" t="e">
        <f t="shared" si="0"/>
        <v>#REF!</v>
      </c>
    </row>
    <row r="15" spans="1:6" ht="20" customHeight="1">
      <c r="A15" t="s">
        <v>5</v>
      </c>
      <c r="B15" t="s">
        <v>20</v>
      </c>
      <c r="C15" t="s">
        <v>43</v>
      </c>
      <c r="D15" s="5" t="e">
        <f>#REF!</f>
        <v>#REF!</v>
      </c>
      <c r="E15" s="4">
        <f>Resources!E5</f>
        <v>3.2000000000000001E-2</v>
      </c>
      <c r="F15" s="6" t="e">
        <f t="shared" si="0"/>
        <v>#REF!</v>
      </c>
    </row>
    <row r="16" spans="1:6" ht="20" customHeight="1">
      <c r="A16" t="s">
        <v>5</v>
      </c>
      <c r="B16" t="s">
        <v>20</v>
      </c>
      <c r="C16" t="s">
        <v>45</v>
      </c>
      <c r="D16" s="5" t="e">
        <f>#REF!</f>
        <v>#REF!</v>
      </c>
      <c r="E16" s="4">
        <f>Resources!E6</f>
        <v>0.02</v>
      </c>
      <c r="F16" s="6" t="e">
        <f t="shared" si="0"/>
        <v>#REF!</v>
      </c>
    </row>
    <row r="17" spans="1:6" ht="20" customHeight="1">
      <c r="A17" t="s">
        <v>5</v>
      </c>
      <c r="B17" t="s">
        <v>23</v>
      </c>
      <c r="C17" t="s">
        <v>34</v>
      </c>
      <c r="D17" s="5" t="e">
        <f>#REF!</f>
        <v>#REF!</v>
      </c>
      <c r="E17" s="4">
        <f>Resources!E2</f>
        <v>1.9E-2</v>
      </c>
      <c r="F17" s="6" t="e">
        <f t="shared" si="0"/>
        <v>#REF!</v>
      </c>
    </row>
    <row r="18" spans="1:6" ht="20" customHeight="1">
      <c r="A18" t="s">
        <v>5</v>
      </c>
      <c r="B18" t="s">
        <v>23</v>
      </c>
      <c r="C18" t="s">
        <v>37</v>
      </c>
      <c r="D18" s="5" t="e">
        <f>#REF!</f>
        <v>#REF!</v>
      </c>
      <c r="E18" s="4">
        <f>Resources!E3</f>
        <v>2.1999999999999999E-2</v>
      </c>
      <c r="F18" s="6" t="e">
        <f t="shared" si="0"/>
        <v>#REF!</v>
      </c>
    </row>
    <row r="19" spans="1:6" ht="20" customHeight="1">
      <c r="A19" t="s">
        <v>5</v>
      </c>
      <c r="B19" t="s">
        <v>23</v>
      </c>
      <c r="C19" t="s">
        <v>40</v>
      </c>
      <c r="D19" s="5" t="e">
        <f>#REF!</f>
        <v>#REF!</v>
      </c>
      <c r="E19" s="4">
        <f>Resources!E4</f>
        <v>1.7000000000000001E-2</v>
      </c>
      <c r="F19" s="6" t="e">
        <f t="shared" si="0"/>
        <v>#REF!</v>
      </c>
    </row>
    <row r="20" spans="1:6" ht="20" customHeight="1">
      <c r="A20" t="s">
        <v>5</v>
      </c>
      <c r="B20" t="s">
        <v>23</v>
      </c>
      <c r="C20" t="s">
        <v>43</v>
      </c>
      <c r="D20" s="5" t="e">
        <f>#REF!</f>
        <v>#REF!</v>
      </c>
      <c r="E20" s="4">
        <f>Resources!E5</f>
        <v>3.2000000000000001E-2</v>
      </c>
      <c r="F20" s="6" t="e">
        <f t="shared" si="0"/>
        <v>#REF!</v>
      </c>
    </row>
    <row r="21" spans="1:6" ht="20" customHeight="1">
      <c r="A21" t="s">
        <v>5</v>
      </c>
      <c r="B21" t="s">
        <v>23</v>
      </c>
      <c r="C21" t="s">
        <v>45</v>
      </c>
      <c r="D21" s="5" t="e">
        <f>#REF!</f>
        <v>#REF!</v>
      </c>
      <c r="E21" s="4">
        <f>Resources!E6</f>
        <v>0.02</v>
      </c>
      <c r="F21" s="6" t="e">
        <f t="shared" si="0"/>
        <v>#REF!</v>
      </c>
    </row>
    <row r="22" spans="1:6" ht="20" customHeight="1">
      <c r="A22" t="s">
        <v>5</v>
      </c>
      <c r="B22" t="s">
        <v>25</v>
      </c>
      <c r="C22" t="s">
        <v>34</v>
      </c>
      <c r="D22" s="5" t="e">
        <f>#REF!</f>
        <v>#REF!</v>
      </c>
      <c r="E22" s="4">
        <f>Resources!E2</f>
        <v>1.9E-2</v>
      </c>
      <c r="F22" s="6" t="e">
        <f t="shared" si="0"/>
        <v>#REF!</v>
      </c>
    </row>
    <row r="23" spans="1:6" ht="20" customHeight="1">
      <c r="A23" t="s">
        <v>5</v>
      </c>
      <c r="B23" t="s">
        <v>25</v>
      </c>
      <c r="C23" t="s">
        <v>37</v>
      </c>
      <c r="D23" s="5" t="e">
        <f>#REF!</f>
        <v>#REF!</v>
      </c>
      <c r="E23" s="4">
        <f>Resources!E3</f>
        <v>2.1999999999999999E-2</v>
      </c>
      <c r="F23" s="6" t="e">
        <f t="shared" si="0"/>
        <v>#REF!</v>
      </c>
    </row>
    <row r="24" spans="1:6" ht="20" customHeight="1">
      <c r="A24" t="s">
        <v>5</v>
      </c>
      <c r="B24" t="s">
        <v>25</v>
      </c>
      <c r="C24" t="s">
        <v>40</v>
      </c>
      <c r="D24" s="5" t="e">
        <f>#REF!</f>
        <v>#REF!</v>
      </c>
      <c r="E24" s="4">
        <f>Resources!E4</f>
        <v>1.7000000000000001E-2</v>
      </c>
      <c r="F24" s="6" t="e">
        <f t="shared" si="0"/>
        <v>#REF!</v>
      </c>
    </row>
    <row r="25" spans="1:6" ht="20" customHeight="1">
      <c r="A25" t="s">
        <v>5</v>
      </c>
      <c r="B25" t="s">
        <v>25</v>
      </c>
      <c r="C25" t="s">
        <v>43</v>
      </c>
      <c r="D25" s="5" t="e">
        <f>#REF!</f>
        <v>#REF!</v>
      </c>
      <c r="E25" s="4">
        <f>Resources!E5</f>
        <v>3.2000000000000001E-2</v>
      </c>
      <c r="F25" s="6" t="e">
        <f t="shared" si="0"/>
        <v>#REF!</v>
      </c>
    </row>
    <row r="26" spans="1:6" ht="20" customHeight="1">
      <c r="A26" t="s">
        <v>5</v>
      </c>
      <c r="B26" t="s">
        <v>25</v>
      </c>
      <c r="C26" t="s">
        <v>45</v>
      </c>
      <c r="D26" s="5" t="e">
        <f>#REF!</f>
        <v>#REF!</v>
      </c>
      <c r="E26" s="4">
        <f>Resources!E6</f>
        <v>0.02</v>
      </c>
      <c r="F26" s="6" t="e">
        <f t="shared" si="0"/>
        <v>#REF!</v>
      </c>
    </row>
    <row r="27" spans="1:6" ht="20" customHeight="1">
      <c r="A27" t="s">
        <v>5</v>
      </c>
      <c r="B27" t="s">
        <v>27</v>
      </c>
      <c r="C27" t="s">
        <v>34</v>
      </c>
      <c r="D27" s="5" t="e">
        <f>#REF!</f>
        <v>#REF!</v>
      </c>
      <c r="E27" s="4">
        <f>Resources!E2</f>
        <v>1.9E-2</v>
      </c>
      <c r="F27" s="6" t="e">
        <f t="shared" si="0"/>
        <v>#REF!</v>
      </c>
    </row>
    <row r="28" spans="1:6" ht="20" customHeight="1">
      <c r="A28" t="s">
        <v>5</v>
      </c>
      <c r="B28" t="s">
        <v>27</v>
      </c>
      <c r="C28" t="s">
        <v>37</v>
      </c>
      <c r="D28" s="5" t="e">
        <f>#REF!</f>
        <v>#REF!</v>
      </c>
      <c r="E28" s="4">
        <f>Resources!E3</f>
        <v>2.1999999999999999E-2</v>
      </c>
      <c r="F28" s="6" t="e">
        <f t="shared" si="0"/>
        <v>#REF!</v>
      </c>
    </row>
    <row r="29" spans="1:6" ht="20" customHeight="1">
      <c r="A29" t="s">
        <v>5</v>
      </c>
      <c r="B29" t="s">
        <v>27</v>
      </c>
      <c r="C29" t="s">
        <v>40</v>
      </c>
      <c r="D29" s="5" t="e">
        <f>#REF!</f>
        <v>#REF!</v>
      </c>
      <c r="E29" s="4">
        <f>Resources!E4</f>
        <v>1.7000000000000001E-2</v>
      </c>
      <c r="F29" s="6" t="e">
        <f t="shared" si="0"/>
        <v>#REF!</v>
      </c>
    </row>
    <row r="30" spans="1:6" ht="20" customHeight="1">
      <c r="A30" t="s">
        <v>5</v>
      </c>
      <c r="B30" t="s">
        <v>27</v>
      </c>
      <c r="C30" t="s">
        <v>43</v>
      </c>
      <c r="D30" s="5" t="e">
        <f>#REF!</f>
        <v>#REF!</v>
      </c>
      <c r="E30" s="4">
        <f>Resources!E5</f>
        <v>3.2000000000000001E-2</v>
      </c>
      <c r="F30" s="6" t="e">
        <f t="shared" si="0"/>
        <v>#REF!</v>
      </c>
    </row>
    <row r="31" spans="1:6" ht="20" customHeight="1">
      <c r="A31" t="s">
        <v>5</v>
      </c>
      <c r="B31" t="s">
        <v>27</v>
      </c>
      <c r="C31" t="s">
        <v>45</v>
      </c>
      <c r="D31" s="5" t="e">
        <f>#REF!</f>
        <v>#REF!</v>
      </c>
      <c r="E31" s="4">
        <f>Resources!E6</f>
        <v>0.02</v>
      </c>
      <c r="F31" s="6" t="e">
        <f t="shared" si="0"/>
        <v>#REF!</v>
      </c>
    </row>
    <row r="32" spans="1:6" ht="20" customHeight="1">
      <c r="A32" t="s">
        <v>7</v>
      </c>
      <c r="B32" t="s">
        <v>14</v>
      </c>
      <c r="C32" t="s">
        <v>34</v>
      </c>
      <c r="D32" s="5" t="e">
        <f>#REF!</f>
        <v>#REF!</v>
      </c>
      <c r="E32" s="4">
        <f>Resources!E2</f>
        <v>1.9E-2</v>
      </c>
      <c r="F32" s="6" t="e">
        <f t="shared" si="0"/>
        <v>#REF!</v>
      </c>
    </row>
    <row r="33" spans="1:6" ht="20" customHeight="1">
      <c r="A33" t="s">
        <v>7</v>
      </c>
      <c r="B33" t="s">
        <v>14</v>
      </c>
      <c r="C33" t="s">
        <v>37</v>
      </c>
      <c r="D33" s="5" t="e">
        <f>#REF!</f>
        <v>#REF!</v>
      </c>
      <c r="E33" s="4">
        <f>Resources!E3</f>
        <v>2.1999999999999999E-2</v>
      </c>
      <c r="F33" s="6" t="e">
        <f t="shared" si="0"/>
        <v>#REF!</v>
      </c>
    </row>
    <row r="34" spans="1:6" ht="20" customHeight="1">
      <c r="A34" t="s">
        <v>7</v>
      </c>
      <c r="B34" t="s">
        <v>14</v>
      </c>
      <c r="C34" t="s">
        <v>40</v>
      </c>
      <c r="D34" s="5" t="e">
        <f>#REF!</f>
        <v>#REF!</v>
      </c>
      <c r="E34" s="4">
        <f>Resources!E4</f>
        <v>1.7000000000000001E-2</v>
      </c>
      <c r="F34" s="6" t="e">
        <f t="shared" ref="F34:F65" si="1">ROUND(D34*E34,2)</f>
        <v>#REF!</v>
      </c>
    </row>
    <row r="35" spans="1:6" ht="20" customHeight="1">
      <c r="A35" t="s">
        <v>7</v>
      </c>
      <c r="B35" t="s">
        <v>14</v>
      </c>
      <c r="C35" t="s">
        <v>43</v>
      </c>
      <c r="D35" s="5" t="e">
        <f>#REF!</f>
        <v>#REF!</v>
      </c>
      <c r="E35" s="4">
        <f>Resources!E5</f>
        <v>3.2000000000000001E-2</v>
      </c>
      <c r="F35" s="6" t="e">
        <f t="shared" si="1"/>
        <v>#REF!</v>
      </c>
    </row>
    <row r="36" spans="1:6" ht="20" customHeight="1">
      <c r="A36" t="s">
        <v>7</v>
      </c>
      <c r="B36" t="s">
        <v>14</v>
      </c>
      <c r="C36" t="s">
        <v>45</v>
      </c>
      <c r="D36" s="5" t="e">
        <f>#REF!</f>
        <v>#REF!</v>
      </c>
      <c r="E36" s="4">
        <f>Resources!E6</f>
        <v>0.02</v>
      </c>
      <c r="F36" s="6" t="e">
        <f t="shared" si="1"/>
        <v>#REF!</v>
      </c>
    </row>
    <row r="37" spans="1:6" ht="20" customHeight="1">
      <c r="A37" t="s">
        <v>7</v>
      </c>
      <c r="B37" t="s">
        <v>17</v>
      </c>
      <c r="C37" t="s">
        <v>34</v>
      </c>
      <c r="D37" s="5" t="e">
        <f>#REF!</f>
        <v>#REF!</v>
      </c>
      <c r="E37" s="4">
        <f>Resources!E2</f>
        <v>1.9E-2</v>
      </c>
      <c r="F37" s="6" t="e">
        <f t="shared" si="1"/>
        <v>#REF!</v>
      </c>
    </row>
    <row r="38" spans="1:6" ht="20" customHeight="1">
      <c r="A38" t="s">
        <v>7</v>
      </c>
      <c r="B38" t="s">
        <v>17</v>
      </c>
      <c r="C38" t="s">
        <v>37</v>
      </c>
      <c r="D38" s="5" t="e">
        <f>#REF!</f>
        <v>#REF!</v>
      </c>
      <c r="E38" s="4">
        <f>Resources!E3</f>
        <v>2.1999999999999999E-2</v>
      </c>
      <c r="F38" s="6" t="e">
        <f t="shared" si="1"/>
        <v>#REF!</v>
      </c>
    </row>
    <row r="39" spans="1:6" ht="20" customHeight="1">
      <c r="A39" t="s">
        <v>7</v>
      </c>
      <c r="B39" t="s">
        <v>17</v>
      </c>
      <c r="C39" t="s">
        <v>40</v>
      </c>
      <c r="D39" s="5" t="e">
        <f>#REF!</f>
        <v>#REF!</v>
      </c>
      <c r="E39" s="4">
        <f>Resources!E4</f>
        <v>1.7000000000000001E-2</v>
      </c>
      <c r="F39" s="6" t="e">
        <f t="shared" si="1"/>
        <v>#REF!</v>
      </c>
    </row>
    <row r="40" spans="1:6" ht="20" customHeight="1">
      <c r="A40" t="s">
        <v>7</v>
      </c>
      <c r="B40" t="s">
        <v>17</v>
      </c>
      <c r="C40" t="s">
        <v>43</v>
      </c>
      <c r="D40" s="5" t="e">
        <f>#REF!</f>
        <v>#REF!</v>
      </c>
      <c r="E40" s="4">
        <f>Resources!E5</f>
        <v>3.2000000000000001E-2</v>
      </c>
      <c r="F40" s="6" t="e">
        <f t="shared" si="1"/>
        <v>#REF!</v>
      </c>
    </row>
    <row r="41" spans="1:6" ht="20" customHeight="1">
      <c r="A41" t="s">
        <v>7</v>
      </c>
      <c r="B41" t="s">
        <v>17</v>
      </c>
      <c r="C41" t="s">
        <v>45</v>
      </c>
      <c r="D41" s="5" t="e">
        <f>#REF!</f>
        <v>#REF!</v>
      </c>
      <c r="E41" s="4">
        <f>Resources!E6</f>
        <v>0.02</v>
      </c>
      <c r="F41" s="6" t="e">
        <f t="shared" si="1"/>
        <v>#REF!</v>
      </c>
    </row>
    <row r="42" spans="1:6" ht="20" customHeight="1">
      <c r="A42" t="s">
        <v>7</v>
      </c>
      <c r="B42" t="s">
        <v>20</v>
      </c>
      <c r="C42" t="s">
        <v>34</v>
      </c>
      <c r="D42" s="5" t="e">
        <f>#REF!</f>
        <v>#REF!</v>
      </c>
      <c r="E42" s="4">
        <f>Resources!E2</f>
        <v>1.9E-2</v>
      </c>
      <c r="F42" s="6" t="e">
        <f t="shared" si="1"/>
        <v>#REF!</v>
      </c>
    </row>
    <row r="43" spans="1:6" ht="20" customHeight="1">
      <c r="A43" t="s">
        <v>7</v>
      </c>
      <c r="B43" t="s">
        <v>20</v>
      </c>
      <c r="C43" t="s">
        <v>37</v>
      </c>
      <c r="D43" s="5" t="e">
        <f>#REF!</f>
        <v>#REF!</v>
      </c>
      <c r="E43" s="4">
        <f>Resources!E3</f>
        <v>2.1999999999999999E-2</v>
      </c>
      <c r="F43" s="6" t="e">
        <f t="shared" si="1"/>
        <v>#REF!</v>
      </c>
    </row>
    <row r="44" spans="1:6" ht="20" customHeight="1">
      <c r="A44" t="s">
        <v>7</v>
      </c>
      <c r="B44" t="s">
        <v>20</v>
      </c>
      <c r="C44" t="s">
        <v>40</v>
      </c>
      <c r="D44" s="5" t="e">
        <f>#REF!</f>
        <v>#REF!</v>
      </c>
      <c r="E44" s="4">
        <f>Resources!E4</f>
        <v>1.7000000000000001E-2</v>
      </c>
      <c r="F44" s="6" t="e">
        <f t="shared" si="1"/>
        <v>#REF!</v>
      </c>
    </row>
    <row r="45" spans="1:6" ht="20" customHeight="1">
      <c r="A45" t="s">
        <v>7</v>
      </c>
      <c r="B45" t="s">
        <v>20</v>
      </c>
      <c r="C45" t="s">
        <v>43</v>
      </c>
      <c r="D45" s="5" t="e">
        <f>#REF!</f>
        <v>#REF!</v>
      </c>
      <c r="E45" s="4">
        <f>Resources!E5</f>
        <v>3.2000000000000001E-2</v>
      </c>
      <c r="F45" s="6" t="e">
        <f t="shared" si="1"/>
        <v>#REF!</v>
      </c>
    </row>
    <row r="46" spans="1:6" ht="20" customHeight="1">
      <c r="A46" t="s">
        <v>7</v>
      </c>
      <c r="B46" t="s">
        <v>20</v>
      </c>
      <c r="C46" t="s">
        <v>45</v>
      </c>
      <c r="D46" s="5" t="e">
        <f>#REF!</f>
        <v>#REF!</v>
      </c>
      <c r="E46" s="4">
        <f>Resources!E6</f>
        <v>0.02</v>
      </c>
      <c r="F46" s="6" t="e">
        <f t="shared" si="1"/>
        <v>#REF!</v>
      </c>
    </row>
    <row r="47" spans="1:6" ht="20" customHeight="1">
      <c r="A47" t="s">
        <v>7</v>
      </c>
      <c r="B47" t="s">
        <v>23</v>
      </c>
      <c r="C47" t="s">
        <v>34</v>
      </c>
      <c r="D47" s="5" t="e">
        <f>#REF!</f>
        <v>#REF!</v>
      </c>
      <c r="E47" s="4">
        <f>Resources!E2</f>
        <v>1.9E-2</v>
      </c>
      <c r="F47" s="6" t="e">
        <f t="shared" si="1"/>
        <v>#REF!</v>
      </c>
    </row>
    <row r="48" spans="1:6" ht="20" customHeight="1">
      <c r="A48" t="s">
        <v>7</v>
      </c>
      <c r="B48" t="s">
        <v>23</v>
      </c>
      <c r="C48" t="s">
        <v>37</v>
      </c>
      <c r="D48" s="5" t="e">
        <f>#REF!</f>
        <v>#REF!</v>
      </c>
      <c r="E48" s="4">
        <f>Resources!E3</f>
        <v>2.1999999999999999E-2</v>
      </c>
      <c r="F48" s="6" t="e">
        <f t="shared" si="1"/>
        <v>#REF!</v>
      </c>
    </row>
    <row r="49" spans="1:6" ht="20" customHeight="1">
      <c r="A49" t="s">
        <v>7</v>
      </c>
      <c r="B49" t="s">
        <v>23</v>
      </c>
      <c r="C49" t="s">
        <v>40</v>
      </c>
      <c r="D49" s="5" t="e">
        <f>#REF!</f>
        <v>#REF!</v>
      </c>
      <c r="E49" s="4">
        <f>Resources!E4</f>
        <v>1.7000000000000001E-2</v>
      </c>
      <c r="F49" s="6" t="e">
        <f t="shared" si="1"/>
        <v>#REF!</v>
      </c>
    </row>
    <row r="50" spans="1:6" ht="20" customHeight="1">
      <c r="A50" t="s">
        <v>7</v>
      </c>
      <c r="B50" t="s">
        <v>23</v>
      </c>
      <c r="C50" t="s">
        <v>43</v>
      </c>
      <c r="D50" s="5" t="e">
        <f>#REF!</f>
        <v>#REF!</v>
      </c>
      <c r="E50" s="4">
        <f>Resources!E5</f>
        <v>3.2000000000000001E-2</v>
      </c>
      <c r="F50" s="6" t="e">
        <f t="shared" si="1"/>
        <v>#REF!</v>
      </c>
    </row>
    <row r="51" spans="1:6" ht="20" customHeight="1">
      <c r="A51" t="s">
        <v>7</v>
      </c>
      <c r="B51" t="s">
        <v>23</v>
      </c>
      <c r="C51" t="s">
        <v>45</v>
      </c>
      <c r="D51" s="5" t="e">
        <f>#REF!</f>
        <v>#REF!</v>
      </c>
      <c r="E51" s="4">
        <f>Resources!E6</f>
        <v>0.02</v>
      </c>
      <c r="F51" s="6" t="e">
        <f t="shared" si="1"/>
        <v>#REF!</v>
      </c>
    </row>
    <row r="52" spans="1:6" ht="20" customHeight="1">
      <c r="A52" t="s">
        <v>7</v>
      </c>
      <c r="B52" t="s">
        <v>25</v>
      </c>
      <c r="C52" t="s">
        <v>34</v>
      </c>
      <c r="D52" s="5" t="e">
        <f>#REF!</f>
        <v>#REF!</v>
      </c>
      <c r="E52" s="4">
        <f>Resources!E2</f>
        <v>1.9E-2</v>
      </c>
      <c r="F52" s="6" t="e">
        <f t="shared" si="1"/>
        <v>#REF!</v>
      </c>
    </row>
    <row r="53" spans="1:6" ht="20" customHeight="1">
      <c r="A53" t="s">
        <v>7</v>
      </c>
      <c r="B53" t="s">
        <v>25</v>
      </c>
      <c r="C53" t="s">
        <v>37</v>
      </c>
      <c r="D53" s="5" t="e">
        <f>#REF!</f>
        <v>#REF!</v>
      </c>
      <c r="E53" s="4">
        <f>Resources!E3</f>
        <v>2.1999999999999999E-2</v>
      </c>
      <c r="F53" s="6" t="e">
        <f t="shared" si="1"/>
        <v>#REF!</v>
      </c>
    </row>
    <row r="54" spans="1:6" ht="20" customHeight="1">
      <c r="A54" t="s">
        <v>7</v>
      </c>
      <c r="B54" t="s">
        <v>25</v>
      </c>
      <c r="C54" t="s">
        <v>40</v>
      </c>
      <c r="D54" s="5" t="e">
        <f>#REF!</f>
        <v>#REF!</v>
      </c>
      <c r="E54" s="4">
        <f>Resources!E4</f>
        <v>1.7000000000000001E-2</v>
      </c>
      <c r="F54" s="6" t="e">
        <f t="shared" si="1"/>
        <v>#REF!</v>
      </c>
    </row>
    <row r="55" spans="1:6" ht="20" customHeight="1">
      <c r="A55" t="s">
        <v>7</v>
      </c>
      <c r="B55" t="s">
        <v>25</v>
      </c>
      <c r="C55" t="s">
        <v>43</v>
      </c>
      <c r="D55" s="5" t="e">
        <f>#REF!</f>
        <v>#REF!</v>
      </c>
      <c r="E55" s="4">
        <f>Resources!E5</f>
        <v>3.2000000000000001E-2</v>
      </c>
      <c r="F55" s="6" t="e">
        <f t="shared" si="1"/>
        <v>#REF!</v>
      </c>
    </row>
    <row r="56" spans="1:6" ht="20" customHeight="1">
      <c r="A56" t="s">
        <v>7</v>
      </c>
      <c r="B56" t="s">
        <v>25</v>
      </c>
      <c r="C56" t="s">
        <v>45</v>
      </c>
      <c r="D56" s="5" t="e">
        <f>#REF!</f>
        <v>#REF!</v>
      </c>
      <c r="E56" s="4">
        <f>Resources!E6</f>
        <v>0.02</v>
      </c>
      <c r="F56" s="6" t="e">
        <f t="shared" si="1"/>
        <v>#REF!</v>
      </c>
    </row>
    <row r="57" spans="1:6" ht="20" customHeight="1">
      <c r="A57" t="s">
        <v>7</v>
      </c>
      <c r="B57" t="s">
        <v>27</v>
      </c>
      <c r="C57" t="s">
        <v>34</v>
      </c>
      <c r="D57" s="5" t="e">
        <f>#REF!</f>
        <v>#REF!</v>
      </c>
      <c r="E57" s="4">
        <f>Resources!E2</f>
        <v>1.9E-2</v>
      </c>
      <c r="F57" s="6" t="e">
        <f t="shared" si="1"/>
        <v>#REF!</v>
      </c>
    </row>
    <row r="58" spans="1:6" ht="20" customHeight="1">
      <c r="A58" t="s">
        <v>7</v>
      </c>
      <c r="B58" t="s">
        <v>27</v>
      </c>
      <c r="C58" t="s">
        <v>37</v>
      </c>
      <c r="D58" s="5" t="e">
        <f>#REF!</f>
        <v>#REF!</v>
      </c>
      <c r="E58" s="4">
        <f>Resources!E3</f>
        <v>2.1999999999999999E-2</v>
      </c>
      <c r="F58" s="6" t="e">
        <f t="shared" si="1"/>
        <v>#REF!</v>
      </c>
    </row>
    <row r="59" spans="1:6" ht="20" customHeight="1">
      <c r="A59" t="s">
        <v>7</v>
      </c>
      <c r="B59" t="s">
        <v>27</v>
      </c>
      <c r="C59" t="s">
        <v>40</v>
      </c>
      <c r="D59" s="5" t="e">
        <f>#REF!</f>
        <v>#REF!</v>
      </c>
      <c r="E59" s="4">
        <f>Resources!E4</f>
        <v>1.7000000000000001E-2</v>
      </c>
      <c r="F59" s="6" t="e">
        <f t="shared" si="1"/>
        <v>#REF!</v>
      </c>
    </row>
    <row r="60" spans="1:6" ht="20" customHeight="1">
      <c r="A60" t="s">
        <v>7</v>
      </c>
      <c r="B60" t="s">
        <v>27</v>
      </c>
      <c r="C60" t="s">
        <v>43</v>
      </c>
      <c r="D60" s="5" t="e">
        <f>#REF!</f>
        <v>#REF!</v>
      </c>
      <c r="E60" s="4">
        <f>Resources!E5</f>
        <v>3.2000000000000001E-2</v>
      </c>
      <c r="F60" s="6" t="e">
        <f t="shared" si="1"/>
        <v>#REF!</v>
      </c>
    </row>
    <row r="61" spans="1:6" ht="20" customHeight="1">
      <c r="A61" t="s">
        <v>7</v>
      </c>
      <c r="B61" t="s">
        <v>27</v>
      </c>
      <c r="C61" t="s">
        <v>45</v>
      </c>
      <c r="D61" s="5" t="e">
        <f>#REF!</f>
        <v>#REF!</v>
      </c>
      <c r="E61" s="4">
        <f>Resources!E6</f>
        <v>0.02</v>
      </c>
      <c r="F61" s="6" t="e">
        <f t="shared" si="1"/>
        <v>#REF!</v>
      </c>
    </row>
    <row r="62" spans="1:6" ht="20" customHeight="1">
      <c r="A62" t="s">
        <v>9</v>
      </c>
      <c r="B62" t="s">
        <v>14</v>
      </c>
      <c r="C62" t="s">
        <v>34</v>
      </c>
      <c r="D62" s="5" t="e">
        <f>#REF!</f>
        <v>#REF!</v>
      </c>
      <c r="E62" s="4">
        <f>Resources!E2</f>
        <v>1.9E-2</v>
      </c>
      <c r="F62" s="6" t="e">
        <f t="shared" si="1"/>
        <v>#REF!</v>
      </c>
    </row>
    <row r="63" spans="1:6" ht="20" customHeight="1">
      <c r="A63" t="s">
        <v>9</v>
      </c>
      <c r="B63" t="s">
        <v>14</v>
      </c>
      <c r="C63" t="s">
        <v>37</v>
      </c>
      <c r="D63" s="5" t="e">
        <f>#REF!</f>
        <v>#REF!</v>
      </c>
      <c r="E63" s="4">
        <f>Resources!E3</f>
        <v>2.1999999999999999E-2</v>
      </c>
      <c r="F63" s="6" t="e">
        <f t="shared" si="1"/>
        <v>#REF!</v>
      </c>
    </row>
    <row r="64" spans="1:6" ht="20" customHeight="1">
      <c r="A64" t="s">
        <v>9</v>
      </c>
      <c r="B64" t="s">
        <v>14</v>
      </c>
      <c r="C64" t="s">
        <v>40</v>
      </c>
      <c r="D64" s="5" t="e">
        <f>#REF!</f>
        <v>#REF!</v>
      </c>
      <c r="E64" s="4">
        <f>Resources!E4</f>
        <v>1.7000000000000001E-2</v>
      </c>
      <c r="F64" s="6" t="e">
        <f t="shared" si="1"/>
        <v>#REF!</v>
      </c>
    </row>
    <row r="65" spans="1:6" ht="20" customHeight="1">
      <c r="A65" t="s">
        <v>9</v>
      </c>
      <c r="B65" t="s">
        <v>14</v>
      </c>
      <c r="C65" t="s">
        <v>43</v>
      </c>
      <c r="D65" s="5" t="e">
        <f>#REF!</f>
        <v>#REF!</v>
      </c>
      <c r="E65" s="4">
        <f>Resources!E5</f>
        <v>3.2000000000000001E-2</v>
      </c>
      <c r="F65" s="6" t="e">
        <f t="shared" si="1"/>
        <v>#REF!</v>
      </c>
    </row>
    <row r="66" spans="1:6" ht="20" customHeight="1">
      <c r="A66" t="s">
        <v>9</v>
      </c>
      <c r="B66" t="s">
        <v>14</v>
      </c>
      <c r="C66" t="s">
        <v>45</v>
      </c>
      <c r="D66" s="5" t="e">
        <f>#REF!</f>
        <v>#REF!</v>
      </c>
      <c r="E66" s="4">
        <f>Resources!E6</f>
        <v>0.02</v>
      </c>
      <c r="F66" s="6" t="e">
        <f t="shared" ref="F66:F91" si="2">ROUND(D66*E66,2)</f>
        <v>#REF!</v>
      </c>
    </row>
    <row r="67" spans="1:6" ht="20" customHeight="1">
      <c r="A67" t="s">
        <v>9</v>
      </c>
      <c r="B67" t="s">
        <v>17</v>
      </c>
      <c r="C67" t="s">
        <v>34</v>
      </c>
      <c r="D67" s="5" t="e">
        <f>#REF!</f>
        <v>#REF!</v>
      </c>
      <c r="E67" s="4">
        <f>Resources!E2</f>
        <v>1.9E-2</v>
      </c>
      <c r="F67" s="6" t="e">
        <f t="shared" si="2"/>
        <v>#REF!</v>
      </c>
    </row>
    <row r="68" spans="1:6" ht="20" customHeight="1">
      <c r="A68" t="s">
        <v>9</v>
      </c>
      <c r="B68" t="s">
        <v>17</v>
      </c>
      <c r="C68" t="s">
        <v>37</v>
      </c>
      <c r="D68" s="5" t="e">
        <f>#REF!</f>
        <v>#REF!</v>
      </c>
      <c r="E68" s="4">
        <f>Resources!E3</f>
        <v>2.1999999999999999E-2</v>
      </c>
      <c r="F68" s="6" t="e">
        <f t="shared" si="2"/>
        <v>#REF!</v>
      </c>
    </row>
    <row r="69" spans="1:6" ht="20" customHeight="1">
      <c r="A69" t="s">
        <v>9</v>
      </c>
      <c r="B69" t="s">
        <v>17</v>
      </c>
      <c r="C69" t="s">
        <v>40</v>
      </c>
      <c r="D69" s="5" t="e">
        <f>#REF!</f>
        <v>#REF!</v>
      </c>
      <c r="E69" s="4">
        <f>Resources!E4</f>
        <v>1.7000000000000001E-2</v>
      </c>
      <c r="F69" s="6" t="e">
        <f t="shared" si="2"/>
        <v>#REF!</v>
      </c>
    </row>
    <row r="70" spans="1:6" ht="20" customHeight="1">
      <c r="A70" t="s">
        <v>9</v>
      </c>
      <c r="B70" t="s">
        <v>17</v>
      </c>
      <c r="C70" t="s">
        <v>43</v>
      </c>
      <c r="D70" s="5" t="e">
        <f>#REF!</f>
        <v>#REF!</v>
      </c>
      <c r="E70" s="4">
        <f>Resources!E5</f>
        <v>3.2000000000000001E-2</v>
      </c>
      <c r="F70" s="6" t="e">
        <f t="shared" si="2"/>
        <v>#REF!</v>
      </c>
    </row>
    <row r="71" spans="1:6" ht="20" customHeight="1">
      <c r="A71" t="s">
        <v>9</v>
      </c>
      <c r="B71" t="s">
        <v>17</v>
      </c>
      <c r="C71" t="s">
        <v>45</v>
      </c>
      <c r="D71" s="5" t="e">
        <f>#REF!</f>
        <v>#REF!</v>
      </c>
      <c r="E71" s="4">
        <f>Resources!E6</f>
        <v>0.02</v>
      </c>
      <c r="F71" s="6" t="e">
        <f t="shared" si="2"/>
        <v>#REF!</v>
      </c>
    </row>
    <row r="72" spans="1:6" ht="20" customHeight="1">
      <c r="A72" t="s">
        <v>9</v>
      </c>
      <c r="B72" t="s">
        <v>20</v>
      </c>
      <c r="C72" t="s">
        <v>34</v>
      </c>
      <c r="D72" s="5" t="e">
        <f>#REF!</f>
        <v>#REF!</v>
      </c>
      <c r="E72" s="4">
        <f>Resources!E2</f>
        <v>1.9E-2</v>
      </c>
      <c r="F72" s="6" t="e">
        <f t="shared" si="2"/>
        <v>#REF!</v>
      </c>
    </row>
    <row r="73" spans="1:6" ht="20" customHeight="1">
      <c r="A73" t="s">
        <v>9</v>
      </c>
      <c r="B73" t="s">
        <v>20</v>
      </c>
      <c r="C73" t="s">
        <v>37</v>
      </c>
      <c r="D73" s="5" t="e">
        <f>#REF!</f>
        <v>#REF!</v>
      </c>
      <c r="E73" s="4">
        <f>Resources!E3</f>
        <v>2.1999999999999999E-2</v>
      </c>
      <c r="F73" s="6" t="e">
        <f t="shared" si="2"/>
        <v>#REF!</v>
      </c>
    </row>
    <row r="74" spans="1:6" ht="20" customHeight="1">
      <c r="A74" t="s">
        <v>9</v>
      </c>
      <c r="B74" t="s">
        <v>20</v>
      </c>
      <c r="C74" t="s">
        <v>40</v>
      </c>
      <c r="D74" s="5" t="e">
        <f>#REF!</f>
        <v>#REF!</v>
      </c>
      <c r="E74" s="4">
        <f>Resources!E4</f>
        <v>1.7000000000000001E-2</v>
      </c>
      <c r="F74" s="6" t="e">
        <f t="shared" si="2"/>
        <v>#REF!</v>
      </c>
    </row>
    <row r="75" spans="1:6" ht="20" customHeight="1">
      <c r="A75" t="s">
        <v>9</v>
      </c>
      <c r="B75" t="s">
        <v>20</v>
      </c>
      <c r="C75" t="s">
        <v>43</v>
      </c>
      <c r="D75" s="5" t="e">
        <f>#REF!</f>
        <v>#REF!</v>
      </c>
      <c r="E75" s="4">
        <f>Resources!E5</f>
        <v>3.2000000000000001E-2</v>
      </c>
      <c r="F75" s="6" t="e">
        <f t="shared" si="2"/>
        <v>#REF!</v>
      </c>
    </row>
    <row r="76" spans="1:6" ht="20" customHeight="1">
      <c r="A76" t="s">
        <v>9</v>
      </c>
      <c r="B76" t="s">
        <v>20</v>
      </c>
      <c r="C76" t="s">
        <v>45</v>
      </c>
      <c r="D76" s="5" t="e">
        <f>#REF!</f>
        <v>#REF!</v>
      </c>
      <c r="E76" s="4">
        <f>Resources!E6</f>
        <v>0.02</v>
      </c>
      <c r="F76" s="6" t="e">
        <f t="shared" si="2"/>
        <v>#REF!</v>
      </c>
    </row>
    <row r="77" spans="1:6" ht="20" customHeight="1">
      <c r="A77" t="s">
        <v>9</v>
      </c>
      <c r="B77" t="s">
        <v>23</v>
      </c>
      <c r="C77" t="s">
        <v>34</v>
      </c>
      <c r="D77" s="5" t="e">
        <f>#REF!</f>
        <v>#REF!</v>
      </c>
      <c r="E77" s="4">
        <f>Resources!E2</f>
        <v>1.9E-2</v>
      </c>
      <c r="F77" s="6" t="e">
        <f t="shared" si="2"/>
        <v>#REF!</v>
      </c>
    </row>
    <row r="78" spans="1:6" ht="20" customHeight="1">
      <c r="A78" t="s">
        <v>9</v>
      </c>
      <c r="B78" t="s">
        <v>23</v>
      </c>
      <c r="C78" t="s">
        <v>37</v>
      </c>
      <c r="D78" s="5" t="e">
        <f>#REF!</f>
        <v>#REF!</v>
      </c>
      <c r="E78" s="4">
        <f>Resources!E3</f>
        <v>2.1999999999999999E-2</v>
      </c>
      <c r="F78" s="6" t="e">
        <f t="shared" si="2"/>
        <v>#REF!</v>
      </c>
    </row>
    <row r="79" spans="1:6" ht="20" customHeight="1">
      <c r="A79" t="s">
        <v>9</v>
      </c>
      <c r="B79" t="s">
        <v>23</v>
      </c>
      <c r="C79" t="s">
        <v>40</v>
      </c>
      <c r="D79" s="5" t="e">
        <f>#REF!</f>
        <v>#REF!</v>
      </c>
      <c r="E79" s="4">
        <f>Resources!E4</f>
        <v>1.7000000000000001E-2</v>
      </c>
      <c r="F79" s="6" t="e">
        <f t="shared" si="2"/>
        <v>#REF!</v>
      </c>
    </row>
    <row r="80" spans="1:6" ht="20" customHeight="1">
      <c r="A80" t="s">
        <v>9</v>
      </c>
      <c r="B80" t="s">
        <v>23</v>
      </c>
      <c r="C80" t="s">
        <v>43</v>
      </c>
      <c r="D80" s="5" t="e">
        <f>#REF!</f>
        <v>#REF!</v>
      </c>
      <c r="E80" s="4">
        <f>Resources!E5</f>
        <v>3.2000000000000001E-2</v>
      </c>
      <c r="F80" s="6" t="e">
        <f t="shared" si="2"/>
        <v>#REF!</v>
      </c>
    </row>
    <row r="81" spans="1:6" ht="20" customHeight="1">
      <c r="A81" t="s">
        <v>9</v>
      </c>
      <c r="B81" t="s">
        <v>23</v>
      </c>
      <c r="C81" t="s">
        <v>45</v>
      </c>
      <c r="D81" s="5" t="e">
        <f>#REF!</f>
        <v>#REF!</v>
      </c>
      <c r="E81" s="4">
        <f>Resources!E6</f>
        <v>0.02</v>
      </c>
      <c r="F81" s="6" t="e">
        <f t="shared" si="2"/>
        <v>#REF!</v>
      </c>
    </row>
    <row r="82" spans="1:6" ht="20" customHeight="1">
      <c r="A82" t="s">
        <v>9</v>
      </c>
      <c r="B82" t="s">
        <v>25</v>
      </c>
      <c r="C82" t="s">
        <v>34</v>
      </c>
      <c r="D82" s="5" t="e">
        <f>#REF!</f>
        <v>#REF!</v>
      </c>
      <c r="E82" s="4">
        <f>Resources!E2</f>
        <v>1.9E-2</v>
      </c>
      <c r="F82" s="6" t="e">
        <f t="shared" si="2"/>
        <v>#REF!</v>
      </c>
    </row>
    <row r="83" spans="1:6" ht="20" customHeight="1">
      <c r="A83" t="s">
        <v>9</v>
      </c>
      <c r="B83" t="s">
        <v>25</v>
      </c>
      <c r="C83" t="s">
        <v>37</v>
      </c>
      <c r="D83" s="5" t="e">
        <f>#REF!</f>
        <v>#REF!</v>
      </c>
      <c r="E83" s="4">
        <f>Resources!E3</f>
        <v>2.1999999999999999E-2</v>
      </c>
      <c r="F83" s="6" t="e">
        <f t="shared" si="2"/>
        <v>#REF!</v>
      </c>
    </row>
    <row r="84" spans="1:6" ht="20" customHeight="1">
      <c r="A84" t="s">
        <v>9</v>
      </c>
      <c r="B84" t="s">
        <v>25</v>
      </c>
      <c r="C84" t="s">
        <v>40</v>
      </c>
      <c r="D84" s="5" t="e">
        <f>#REF!</f>
        <v>#REF!</v>
      </c>
      <c r="E84" s="4">
        <f>Resources!E4</f>
        <v>1.7000000000000001E-2</v>
      </c>
      <c r="F84" s="6" t="e">
        <f t="shared" si="2"/>
        <v>#REF!</v>
      </c>
    </row>
    <row r="85" spans="1:6" ht="20" customHeight="1">
      <c r="A85" t="s">
        <v>9</v>
      </c>
      <c r="B85" t="s">
        <v>25</v>
      </c>
      <c r="C85" t="s">
        <v>43</v>
      </c>
      <c r="D85" s="5" t="e">
        <f>#REF!</f>
        <v>#REF!</v>
      </c>
      <c r="E85" s="4">
        <f>Resources!E5</f>
        <v>3.2000000000000001E-2</v>
      </c>
      <c r="F85" s="6" t="e">
        <f t="shared" si="2"/>
        <v>#REF!</v>
      </c>
    </row>
    <row r="86" spans="1:6" ht="20" customHeight="1">
      <c r="A86" t="s">
        <v>9</v>
      </c>
      <c r="B86" t="s">
        <v>25</v>
      </c>
      <c r="C86" t="s">
        <v>45</v>
      </c>
      <c r="D86" s="5" t="e">
        <f>#REF!</f>
        <v>#REF!</v>
      </c>
      <c r="E86" s="4">
        <f>Resources!E6</f>
        <v>0.02</v>
      </c>
      <c r="F86" s="6" t="e">
        <f t="shared" si="2"/>
        <v>#REF!</v>
      </c>
    </row>
    <row r="87" spans="1:6" ht="20" customHeight="1">
      <c r="A87" t="s">
        <v>9</v>
      </c>
      <c r="B87" t="s">
        <v>27</v>
      </c>
      <c r="C87" t="s">
        <v>34</v>
      </c>
      <c r="D87" s="5" t="e">
        <f>#REF!</f>
        <v>#REF!</v>
      </c>
      <c r="E87" s="4">
        <f>Resources!E2</f>
        <v>1.9E-2</v>
      </c>
      <c r="F87" s="6" t="e">
        <f t="shared" si="2"/>
        <v>#REF!</v>
      </c>
    </row>
    <row r="88" spans="1:6" ht="20" customHeight="1">
      <c r="A88" t="s">
        <v>9</v>
      </c>
      <c r="B88" t="s">
        <v>27</v>
      </c>
      <c r="C88" t="s">
        <v>37</v>
      </c>
      <c r="D88" s="5" t="e">
        <f>#REF!</f>
        <v>#REF!</v>
      </c>
      <c r="E88" s="4">
        <f>Resources!E3</f>
        <v>2.1999999999999999E-2</v>
      </c>
      <c r="F88" s="6" t="e">
        <f t="shared" si="2"/>
        <v>#REF!</v>
      </c>
    </row>
    <row r="89" spans="1:6" ht="20" customHeight="1">
      <c r="A89" t="s">
        <v>9</v>
      </c>
      <c r="B89" t="s">
        <v>27</v>
      </c>
      <c r="C89" t="s">
        <v>40</v>
      </c>
      <c r="D89" s="5" t="e">
        <f>#REF!</f>
        <v>#REF!</v>
      </c>
      <c r="E89" s="4">
        <f>Resources!E4</f>
        <v>1.7000000000000001E-2</v>
      </c>
      <c r="F89" s="6" t="e">
        <f t="shared" si="2"/>
        <v>#REF!</v>
      </c>
    </row>
    <row r="90" spans="1:6" ht="20" customHeight="1">
      <c r="A90" t="s">
        <v>9</v>
      </c>
      <c r="B90" t="s">
        <v>27</v>
      </c>
      <c r="C90" t="s">
        <v>43</v>
      </c>
      <c r="D90" s="5" t="e">
        <f>#REF!</f>
        <v>#REF!</v>
      </c>
      <c r="E90" s="4">
        <f>Resources!E5</f>
        <v>3.2000000000000001E-2</v>
      </c>
      <c r="F90" s="6" t="e">
        <f t="shared" si="2"/>
        <v>#REF!</v>
      </c>
    </row>
    <row r="91" spans="1:6" ht="20" customHeight="1">
      <c r="A91" t="s">
        <v>9</v>
      </c>
      <c r="B91" t="s">
        <v>27</v>
      </c>
      <c r="C91" t="s">
        <v>45</v>
      </c>
      <c r="D91" s="5" t="e">
        <f>#REF!</f>
        <v>#REF!</v>
      </c>
      <c r="E91" s="4">
        <f>Resources!E6</f>
        <v>0.02</v>
      </c>
      <c r="F91" s="6" t="e">
        <f t="shared" si="2"/>
        <v>#REF!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workbookViewId="0">
      <pane ySplit="2" topLeftCell="A3" activePane="bottomLeft" state="frozen"/>
      <selection pane="bottomLeft" sqref="A1:E1"/>
    </sheetView>
  </sheetViews>
  <sheetFormatPr baseColWidth="10" defaultColWidth="8.83203125" defaultRowHeight="15"/>
  <cols>
    <col min="1" max="1" width="15" customWidth="1"/>
    <col min="2" max="2" width="27" customWidth="1"/>
    <col min="3" max="4" width="17" customWidth="1"/>
    <col min="5" max="5" width="5" customWidth="1"/>
  </cols>
  <sheetData>
    <row r="1" spans="1:5" ht="33" customHeight="1">
      <c r="A1" s="7" t="s">
        <v>51</v>
      </c>
      <c r="B1" s="7"/>
      <c r="C1" s="7"/>
      <c r="D1" s="7"/>
      <c r="E1" s="7"/>
    </row>
    <row r="2" spans="1:5">
      <c r="A2" s="8" t="s">
        <v>52</v>
      </c>
      <c r="B2" s="8"/>
      <c r="C2" s="8"/>
      <c r="D2" s="8"/>
      <c r="E2" s="8"/>
    </row>
    <row r="4" spans="1:5">
      <c r="A4" s="1" t="s">
        <v>53</v>
      </c>
      <c r="B4" s="1" t="s">
        <v>54</v>
      </c>
      <c r="C4" s="1" t="s">
        <v>55</v>
      </c>
      <c r="D4" s="1" t="s">
        <v>56</v>
      </c>
    </row>
    <row r="5" spans="1:5">
      <c r="A5" t="s">
        <v>5</v>
      </c>
      <c r="B5" t="s">
        <v>6</v>
      </c>
      <c r="C5">
        <f>Centres!D2</f>
        <v>20</v>
      </c>
      <c r="D5">
        <f>Centres!E2</f>
        <v>300</v>
      </c>
    </row>
    <row r="6" spans="1:5">
      <c r="A6" t="s">
        <v>7</v>
      </c>
      <c r="B6" t="s">
        <v>8</v>
      </c>
      <c r="C6">
        <f>Centres!D3</f>
        <v>65</v>
      </c>
      <c r="D6">
        <f>Centres!E3</f>
        <v>160</v>
      </c>
    </row>
    <row r="7" spans="1:5">
      <c r="A7" t="s">
        <v>9</v>
      </c>
      <c r="B7" t="s">
        <v>10</v>
      </c>
      <c r="C7">
        <f>Centres!D4</f>
        <v>65</v>
      </c>
      <c r="D7">
        <f>Centres!E4</f>
        <v>15</v>
      </c>
    </row>
    <row r="10" spans="1:5">
      <c r="A10" s="1" t="s">
        <v>57</v>
      </c>
      <c r="B10" s="1" t="s">
        <v>54</v>
      </c>
      <c r="C10" s="1" t="s">
        <v>55</v>
      </c>
      <c r="D10" s="1" t="s">
        <v>56</v>
      </c>
    </row>
    <row r="11" spans="1:5">
      <c r="A11" t="s">
        <v>14</v>
      </c>
      <c r="B11" t="s">
        <v>15</v>
      </c>
      <c r="C11">
        <f>Regions!D2</f>
        <v>15</v>
      </c>
      <c r="D11">
        <f>Regions!E2</f>
        <v>270</v>
      </c>
    </row>
    <row r="12" spans="1:5">
      <c r="A12" t="s">
        <v>17</v>
      </c>
      <c r="B12" t="s">
        <v>18</v>
      </c>
      <c r="C12">
        <f>Regions!D3</f>
        <v>90</v>
      </c>
      <c r="D12">
        <f>Regions!E3</f>
        <v>245</v>
      </c>
    </row>
    <row r="13" spans="1:5">
      <c r="A13" t="s">
        <v>20</v>
      </c>
      <c r="B13" t="s">
        <v>21</v>
      </c>
      <c r="C13">
        <f>Regions!D4</f>
        <v>67</v>
      </c>
      <c r="D13">
        <f>Regions!E4</f>
        <v>200</v>
      </c>
    </row>
    <row r="14" spans="1:5">
      <c r="A14" t="s">
        <v>23</v>
      </c>
      <c r="B14" t="s">
        <v>24</v>
      </c>
      <c r="C14">
        <f>Regions!D5</f>
        <v>135</v>
      </c>
      <c r="D14">
        <f>Regions!E5</f>
        <v>115</v>
      </c>
    </row>
    <row r="15" spans="1:5">
      <c r="A15" t="s">
        <v>25</v>
      </c>
      <c r="B15" t="s">
        <v>26</v>
      </c>
      <c r="C15">
        <f>Regions!D6</f>
        <v>105</v>
      </c>
      <c r="D15">
        <f>Regions!E6</f>
        <v>25</v>
      </c>
    </row>
    <row r="16" spans="1:5">
      <c r="A16" t="s">
        <v>27</v>
      </c>
      <c r="B16" t="s">
        <v>28</v>
      </c>
      <c r="C16">
        <f>Regions!D7</f>
        <v>22</v>
      </c>
      <c r="D16">
        <f>Regions!E7</f>
        <v>80</v>
      </c>
    </row>
    <row r="19" spans="1:4" ht="35" customHeight="1">
      <c r="A19" t="s">
        <v>58</v>
      </c>
      <c r="B19" s="9" t="s">
        <v>59</v>
      </c>
      <c r="C19" s="9"/>
      <c r="D19" s="9"/>
    </row>
    <row r="21" spans="1:4">
      <c r="A21" s="8" t="s">
        <v>60</v>
      </c>
      <c r="B21" s="8"/>
      <c r="C21" s="8"/>
      <c r="D21" s="8"/>
    </row>
  </sheetData>
  <mergeCells count="4">
    <mergeCell ref="A1:E1"/>
    <mergeCell ref="A2:E2"/>
    <mergeCell ref="B19:D19"/>
    <mergeCell ref="A21:D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Centres</vt:lpstr>
      <vt:lpstr>Regions</vt:lpstr>
      <vt:lpstr>Resources</vt:lpstr>
      <vt:lpstr>Supply</vt:lpstr>
      <vt:lpstr>Demand</vt:lpstr>
      <vt:lpstr>Transport Costs</vt:lpstr>
      <vt:lpstr>2D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Galea</cp:lastModifiedBy>
  <dcterms:created xsi:type="dcterms:W3CDTF">2026-10-19T15:32:57Z</dcterms:created>
  <dcterms:modified xsi:type="dcterms:W3CDTF">2026-10-25T13:04:01Z</dcterms:modified>
</cp:coreProperties>
</file>